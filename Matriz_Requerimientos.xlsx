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F - Funcionales" sheetId="2" state="visible" r:id="rId2"/>
    <sheet xmlns:r="http://schemas.openxmlformats.org/officeDocument/2006/relationships" name="RNF - No Funcionales" sheetId="3" state="visible" r:id="rId3"/>
    <sheet xmlns:r="http://schemas.openxmlformats.org/officeDocument/2006/relationships" name="Resumen" sheetId="4" state="visible" r:id="rId4"/>
  </sheets>
  <definedNames>
    <definedName name="_xlnm._FilterDatabase" localSheetId="1" hidden="1">'RF - Funcionales'!$A$1:$H$95</definedName>
    <definedName name="_xlnm._FilterDatabase" localSheetId="2" hidden="1">'RNF - No Funcionales'!$A$1:$I$99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E79"/>
      <sz val="16"/>
    </font>
    <font>
      <name val="Calibri"/>
      <charset val="1"/>
      <family val="0"/>
      <b val="1"/>
      <color rgb="FF1F4E79"/>
      <sz val="12"/>
    </font>
    <font>
      <name val="Calibri"/>
      <charset val="1"/>
      <family val="0"/>
      <b val="1"/>
      <color rgb="FF1F4E79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1"/>
    </font>
    <font>
      <name val="Calibri"/>
      <charset val="1"/>
      <family val="0"/>
      <i val="1"/>
      <sz val="10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164" fontId="8" fillId="4" borderId="1" applyAlignment="1" pivotButton="0" quotePrefix="0" xfId="0">
      <alignment horizontal="left" vertical="top" wrapText="1"/>
    </xf>
    <xf numFmtId="164" fontId="8" fillId="3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164" fontId="8" fillId="4" borderId="1" applyAlignment="1" pivotButton="0" quotePrefix="0" xfId="0">
      <alignment horizontal="left" vertical="top" wrapText="1"/>
    </xf>
    <xf numFmtId="164" fontId="8" fillId="3" borderId="1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9"/>
  <sheetViews>
    <sheetView showFormulas="0" showGridLines="1" showRowColHeaders="1" showZeros="1" rightToLeft="0" tabSelected="0" showOutlineSymbols="1" defaultGridColor="1" view="normal" topLeftCell="A17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" zeroHeight="0" outlineLevelRow="0"/>
  <cols>
    <col width="120" customWidth="1" style="12" min="1" max="1"/>
  </cols>
  <sheetData>
    <row r="1" ht="21" customHeight="1" s="13">
      <c r="A1" s="14" t="inlineStr">
        <is>
          <t>MATRIZ DE REQUERIMIENTOS - INSTRUCCIONES DE USO</t>
        </is>
      </c>
    </row>
    <row r="3" ht="15.75" customHeight="1" s="13">
      <c r="A3" s="15" t="inlineStr">
        <is>
          <t>Propósito de esta matriz</t>
        </is>
      </c>
    </row>
    <row r="4" ht="15" customHeight="1" s="13">
      <c r="A4" s="16" t="inlineStr">
        <is>
          <t>Esta matriz les permite documentar, priorizar y dar seguimiento a los requerimientos identificados en las entrevistas con el cliente.</t>
        </is>
      </c>
    </row>
    <row r="5" ht="30" customHeight="1" s="13">
      <c r="A5" s="16" t="inlineStr">
        <is>
          <t>La matriz está diseñada para refinamiento iterativo: pueden ir agregando y modificando requerimientos conforme avanzan las entrevistas.</t>
        </is>
      </c>
    </row>
    <row r="7" ht="15" customHeight="1" s="13">
      <c r="A7" s="17" t="inlineStr">
        <is>
          <t>Cómo usar esta plantilla:</t>
        </is>
      </c>
    </row>
    <row r="8" ht="15" customHeight="1" s="13">
      <c r="A8" s="16" t="inlineStr">
        <is>
          <t>1. Vayan a la pestaña 'RF - Requerimientos Funcionales' y documenten todos los requerimientos funcionales identificados.</t>
        </is>
      </c>
    </row>
    <row r="9" ht="15" customHeight="1" s="13">
      <c r="A9" s="16" t="inlineStr">
        <is>
          <t>2. Vayan a la pestaña 'RNF - Requerimientos No Funcionales' y documenten los no funcionales.</t>
        </is>
      </c>
    </row>
    <row r="10" ht="15" customHeight="1" s="13">
      <c r="A10" s="16" t="inlineStr">
        <is>
          <t>3. La pestaña 'Resumen' se actualiza automáticamente con estadísticas.</t>
        </is>
      </c>
    </row>
    <row r="11" ht="15" customHeight="1" s="13">
      <c r="A11" s="16" t="inlineStr">
        <is>
          <t>4. Usen los filtros de las columnas para ordenar por prioridad, estado, etc.</t>
        </is>
      </c>
    </row>
    <row r="13" ht="15" customHeight="1" s="13">
      <c r="A13" s="17" t="inlineStr">
        <is>
          <t>Descripción de columnas:</t>
        </is>
      </c>
    </row>
    <row r="15" ht="15" customHeight="1" s="13">
      <c r="A15" s="16" t="inlineStr">
        <is>
          <t>ID: Identificador único. Formato: RF-01, RF-02... para funcionales; RNF-01, RNF-02... para no funcionales.</t>
        </is>
      </c>
    </row>
    <row r="16" ht="15" customHeight="1" s="13">
      <c r="A16" s="16" t="inlineStr">
        <is>
          <t>Descripción: Redactar en formato 'El sistema debe...' Ser específico y claro.</t>
        </is>
      </c>
    </row>
    <row r="17" ht="15" customHeight="1" s="13">
      <c r="A17" s="16" t="inlineStr">
        <is>
          <t>Criterio de aceptación: ¿Cómo sabemos que el requerimiento está cumplido? OBLIGATORIO para Must-have.</t>
        </is>
      </c>
    </row>
    <row r="18" ht="15" customHeight="1" s="13">
      <c r="A18" s="16" t="inlineStr">
        <is>
          <t>Prioridad: Usar metodología MoSCoW:</t>
        </is>
      </c>
    </row>
    <row r="19" ht="15" customHeight="1" s="13">
      <c r="A19" s="16" t="inlineStr">
        <is>
          <t xml:space="preserve">  • Must have: Sin esto, el sistema no tiene sentido</t>
        </is>
      </c>
    </row>
    <row r="20" ht="15" customHeight="1" s="13">
      <c r="A20" s="16" t="inlineStr">
        <is>
          <t xml:space="preserve">  • Should have: Muy importante, pero no crítico para primera versión</t>
        </is>
      </c>
    </row>
    <row r="21" ht="15" customHeight="1" s="13">
      <c r="A21" s="16" t="inlineStr">
        <is>
          <t xml:space="preserve">  • Could have: Deseable si hay tiempo/presupuesto</t>
        </is>
      </c>
    </row>
    <row r="22" ht="15" customHeight="1" s="13">
      <c r="A22" s="16" t="inlineStr">
        <is>
          <t xml:space="preserve">  • Won't have: Fuera de alcance en esta versión</t>
        </is>
      </c>
    </row>
    <row r="23" ht="15" customHeight="1" s="13">
      <c r="A23" s="16" t="inlineStr">
        <is>
          <t>Fuente: ¿Quién solicitó este requerimiento? (nombre del stakeholder o rol)</t>
        </is>
      </c>
    </row>
    <row r="24" ht="15" customHeight="1" s="13">
      <c r="A24" s="16" t="inlineStr">
        <is>
          <t>Estado: Evolución del requerimiento:</t>
        </is>
      </c>
    </row>
    <row r="25" ht="15" customHeight="1" s="13">
      <c r="A25" s="16" t="inlineStr">
        <is>
          <t xml:space="preserve">  • Propuesto: Identificado en entrevista, pendiente de análisis</t>
        </is>
      </c>
    </row>
    <row r="26" ht="15" customHeight="1" s="13">
      <c r="A26" s="16" t="inlineStr">
        <is>
          <t xml:space="preserve">  • En revisión: El equipo lo está analizando/refinando</t>
        </is>
      </c>
    </row>
    <row r="27" ht="15" customHeight="1" s="13">
      <c r="A27" s="16" t="inlineStr">
        <is>
          <t xml:space="preserve">  • Validado internamente: El equipo confirma que es correcto</t>
        </is>
      </c>
    </row>
    <row r="28" ht="15" customHeight="1" s="13">
      <c r="A28" s="16" t="inlineStr">
        <is>
          <t xml:space="preserve">  • Validado con cliente: El cliente lo aprobó</t>
        </is>
      </c>
    </row>
    <row r="29" ht="15" customHeight="1" s="13">
      <c r="A29" s="16" t="inlineStr">
        <is>
          <t xml:space="preserve">  • Rechazado: Se decidió no incluirlo (explicar en Notas)</t>
        </is>
      </c>
    </row>
    <row r="30" ht="15" customHeight="1" s="13">
      <c r="A30" s="16" t="inlineStr">
        <is>
          <t>Versión: Número de versión del requerimiento (empieza en 1.0, si lo modifican pasa a 1.1, etc.)</t>
        </is>
      </c>
    </row>
    <row r="31" ht="15" customHeight="1" s="13">
      <c r="A31" s="16" t="inlineStr">
        <is>
          <t>Notas: Comentarios, dependencias con otros requerimientos, aclaraciones.</t>
        </is>
      </c>
    </row>
    <row r="33" ht="15" customHeight="1" s="13">
      <c r="A33" s="17" t="inlineStr">
        <is>
          <t>Errores comunes a evitar:</t>
        </is>
      </c>
    </row>
    <row r="34" ht="15" customHeight="1" s="13">
      <c r="A34" s="16" t="inlineStr">
        <is>
          <t>❌ Requerimientos ambiguos: 'El sistema debe ser rápido' → ✅ 'El sistema debe responder en menos de 2 segundos'</t>
        </is>
      </c>
    </row>
    <row r="35" ht="15" customHeight="1" s="13">
      <c r="A35" s="16" t="inlineStr">
        <is>
          <t>❌ Soluciones disfrazadas de requerimientos: 'Debe usar MySQL' → ✅ 'Debe almacenar datos de forma persistente'</t>
        </is>
      </c>
    </row>
    <row r="36" ht="15" customHeight="1" s="13">
      <c r="A36" s="16" t="inlineStr">
        <is>
          <t>❌ Requerimientos sin criterio de aceptación para Must-have → ✅ Siempre definir cómo validar</t>
        </is>
      </c>
    </row>
    <row r="37" ht="15" customHeight="1" s="13">
      <c r="A37" s="16" t="inlineStr">
        <is>
          <t>❌ No indicar fuente → ✅ Rastrear quién lo pidió</t>
        </is>
      </c>
    </row>
    <row r="39" ht="15" customHeight="1" s="13">
      <c r="A39" s="16" t="inlineStr">
        <is>
          <t>¡Éxito documentando sus requerimientos! 🚀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9" activeCellId="0" sqref="B9"/>
    </sheetView>
  </sheetViews>
  <sheetFormatPr baseColWidth="8" defaultColWidth="9.1484375" defaultRowHeight="15" zeroHeight="0" outlineLevelRow="0"/>
  <cols>
    <col width="10" customWidth="1" style="12" min="1" max="1"/>
    <col width="52" customWidth="1" style="12" min="2" max="2"/>
    <col width="72" customWidth="1" style="12" min="3" max="3"/>
    <col width="14" customWidth="1" style="12" min="4" max="4"/>
    <col width="22" customWidth="1" style="12" min="5" max="6"/>
    <col width="10" customWidth="1" style="12" min="7" max="7"/>
    <col width="55" customWidth="1" style="12" min="8" max="8"/>
  </cols>
  <sheetData>
    <row r="1" ht="15" customHeight="1" s="13">
      <c r="A1" s="18" t="inlineStr">
        <is>
          <t>ID</t>
        </is>
      </c>
      <c r="B1" s="18" t="inlineStr">
        <is>
          <t>Descripción</t>
        </is>
      </c>
      <c r="C1" s="18" t="inlineStr">
        <is>
          <t>Criterio de Aceptación</t>
        </is>
      </c>
      <c r="D1" s="18" t="inlineStr">
        <is>
          <t>Prioridad</t>
        </is>
      </c>
      <c r="E1" s="18" t="inlineStr">
        <is>
          <t>Fuente</t>
        </is>
      </c>
      <c r="F1" s="18" t="inlineStr">
        <is>
          <t>Estado</t>
        </is>
      </c>
      <c r="G1" s="18" t="inlineStr">
        <is>
          <t>Versión</t>
        </is>
      </c>
      <c r="H1" s="18" t="inlineStr">
        <is>
          <t>Notas</t>
        </is>
      </c>
    </row>
    <row r="2" ht="90" customHeight="1" s="13">
      <c r="A2" s="19" t="inlineStr">
        <is>
          <t>RF-01</t>
        </is>
      </c>
      <c r="B2" s="19" t="inlineStr">
        <is>
          <t>El sistema debe permitir consultar el estatus de cada representante médico.</t>
        </is>
      </c>
      <c r="C2" s="19" t="inlineStr">
        <is>
          <t>El usuario puede buscar por identificador de laboratorio o representante y el sistema muestra el estatus completo. La vista debe incluir obligatoriamente: facturación, pago, carta invitación y número de representantes. Si algún campo no tiene datos, el sistema muestra "Sin información" en lugar de dejarlo en blanco.</t>
        </is>
      </c>
      <c r="D2" s="19" t="inlineStr">
        <is>
          <t>Must have</t>
        </is>
      </c>
      <c r="E2" s="19" t="inlineStr">
        <is>
          <t>Cliente (Entrevista 1)</t>
        </is>
      </c>
      <c r="F2" s="19" t="inlineStr">
        <is>
          <t>En revisión</t>
        </is>
      </c>
      <c r="G2" s="19" t="inlineStr">
        <is>
          <t>1.1</t>
        </is>
      </c>
      <c r="H2" s="19" t="inlineStr">
        <is>
          <t>Corrección v1.1: se especificaron campos obligatorios mínimos en el CA y se definió el comportamiento para campos sin datos.</t>
        </is>
      </c>
    </row>
    <row r="3" ht="90" customHeight="1" s="13">
      <c r="A3" s="20" t="inlineStr">
        <is>
          <t>RF-02</t>
        </is>
      </c>
      <c r="B3" s="20" t="inlineStr">
        <is>
          <t>El sistema debe permitir registrar y visualizar el número de representantes por laboratorio.</t>
        </is>
      </c>
      <c r="C3" s="20" t="inlineStr">
        <is>
          <t>El usuario puede ingresar y actualizar la cantidad de representantes asociados a cada laboratorio, y visualizarla en cualquier momento. El campo acepta únicamente valores enteros positivos (mínimo 1). Si el usuario ingresa un valor inválido (cero, negativo o texto), el sistema muestra un mensaje de error y no guarda el dato.</t>
        </is>
      </c>
      <c r="D3" s="20" t="inlineStr">
        <is>
          <t>Must have</t>
        </is>
      </c>
      <c r="E3" s="20" t="inlineStr">
        <is>
          <t>Cliente (Entrevista 1)</t>
        </is>
      </c>
      <c r="F3" s="20" t="inlineStr">
        <is>
          <t>En revisión</t>
        </is>
      </c>
      <c r="G3" s="21" t="inlineStr">
        <is>
          <t>1.1</t>
        </is>
      </c>
      <c r="H3" s="20" t="inlineStr">
        <is>
          <t>Corrección v1.1: se añadieron restricciones de validación del campo (enteros positivos) y comportamiento ante valor inválido.</t>
        </is>
      </c>
    </row>
    <row r="4" ht="90" customHeight="1" s="13">
      <c r="A4" s="19" t="inlineStr">
        <is>
          <t>RF-03</t>
        </is>
      </c>
      <c r="B4" s="19" t="inlineStr">
        <is>
          <t>El sistema debe permitir indicar si se ha enviado la carta invitación.</t>
        </is>
      </c>
      <c r="C4" s="19" t="inlineStr">
        <is>
          <t>El usuario puede marcar si la carta invitación fue enviada (Sí/No) y actualizar este estado conforme avance el proceso. El estado SI/NO se conserva al volver a consultar el registro en sesiones posteriores.</t>
        </is>
      </c>
      <c r="D4" s="19" t="inlineStr">
        <is>
          <t>Must have</t>
        </is>
      </c>
      <c r="E4" s="19" t="inlineStr">
        <is>
          <t>Cliente (Entrevista 1)</t>
        </is>
      </c>
      <c r="F4" s="19" t="inlineStr">
        <is>
          <t>En revisión</t>
        </is>
      </c>
      <c r="G4" s="22" t="inlineStr">
        <is>
          <t>1.1</t>
        </is>
      </c>
      <c r="H4" s="19" t="inlineStr">
        <is>
          <t>Corrección v1.1: se añadió criterio de persistencia del estado entre sesiones.</t>
        </is>
      </c>
    </row>
    <row r="5" ht="90" customHeight="1" s="13">
      <c r="A5" s="20" t="inlineStr">
        <is>
          <t>RF-04</t>
        </is>
      </c>
      <c r="B5" s="20" t="inlineStr">
        <is>
          <t>El sistema debe permitir registrar y consultar la facturación.</t>
        </is>
      </c>
      <c r="C5" s="20" t="inlineStr">
        <is>
          <t>El usuario puede registrar si ya se facturó, así como capturar el folio de facturación (formato alfanumérico, máximo 20 caracteres) y el tipo de factura. Los tipos de factura válidos son únicamente PUE y PPD. Si se intenta guardar un tipo diferente, el sistema muestra error. Dependencia: el registro de pago (RF-05) solo es posible si existe factura asociada.</t>
        </is>
      </c>
      <c r="D5" s="20" t="inlineStr">
        <is>
          <t>Must have</t>
        </is>
      </c>
      <c r="E5" s="20" t="inlineStr">
        <is>
          <t>Cliente (Entrevista 1)</t>
        </is>
      </c>
      <c r="F5" s="20" t="inlineStr">
        <is>
          <t>En revisión</t>
        </is>
      </c>
      <c r="G5" s="21" t="inlineStr">
        <is>
          <t>1.1</t>
        </is>
      </c>
      <c r="H5" s="20" t="inlineStr">
        <is>
          <t>Corrección v1.1: se especificó formato del folio, se confirmaron los tipos válidos de factura (PUE/PPD) y se documentó la dependencia con RF-05.</t>
        </is>
      </c>
    </row>
    <row r="6" ht="90" customHeight="1" s="13">
      <c r="A6" s="19" t="inlineStr">
        <is>
          <t>RF-05</t>
        </is>
      </c>
      <c r="B6" s="19" t="inlineStr">
        <is>
          <t>El sistema debe permitir registrar y consultar el estado de pago.</t>
        </is>
      </c>
      <c r="C6" s="19" t="inlineStr">
        <is>
          <t>El usuario puede registrar si el pago fue realizado, capturar la fecha de pago en formato DD/MM/AAAA y el folio de complemento de pago (REP). El registro de pago solo es posible si existe una factura asociada al laboratorio (RF-04). Si el folio REP ya existe en otro registro, el sistema muestra una advertencia.</t>
        </is>
      </c>
      <c r="D6" s="19" t="inlineStr">
        <is>
          <t>Must have</t>
        </is>
      </c>
      <c r="E6" s="19" t="inlineStr">
        <is>
          <t>Cliente (Entrevista 1)</t>
        </is>
      </c>
      <c r="F6" s="19" t="inlineStr">
        <is>
          <t>En revisión</t>
        </is>
      </c>
      <c r="G6" s="22" t="inlineStr">
        <is>
          <t>1.1</t>
        </is>
      </c>
      <c r="H6" s="19" t="inlineStr">
        <is>
          <t>Corrección v1.1: se especificó formato de fecha (DD/MM/AAAA), se documentó dependencia con RF-04 y se añadió validación de folio REP duplicado.</t>
        </is>
      </c>
    </row>
    <row r="7" ht="90" customHeight="1" s="13">
      <c r="A7" s="20" t="inlineStr">
        <is>
          <t>RF-06</t>
        </is>
      </c>
      <c r="B7" s="20" t="inlineStr">
        <is>
          <t>El sistema debe permitir almacenar registros incompletos y actualizarlos posteriormente.</t>
        </is>
      </c>
      <c r="C7" s="20" t="inlineStr">
        <is>
          <t>El usuario puede guardar un registro aunque tenga campos opcionales vacíos. Los datos guardados persisten entre sesiones sin pérdida de información. NOTA: la garantía de persistencia ante fallos del sistema es responsabilidad del RNF-04 (Fiabilidad); este requerimiento cubre únicamente la funcionalidad de guardado parcial.</t>
        </is>
      </c>
      <c r="D7" s="20" t="inlineStr">
        <is>
          <t>Must have</t>
        </is>
      </c>
      <c r="E7" s="20" t="inlineStr">
        <is>
          <t>Cliente (Entrevista 1)</t>
        </is>
      </c>
      <c r="F7" s="20" t="inlineStr">
        <is>
          <t>En revisión</t>
        </is>
      </c>
      <c r="G7" s="21" t="inlineStr">
        <is>
          <t>1.1</t>
        </is>
      </c>
      <c r="H7" s="20" t="inlineStr">
        <is>
          <t>Corrección v1.1: se diferenció el alcance de RF-06 (guardado parcial funcional) vs RNF-04 (persistencia ante fallos) para eliminar duplicidad.</t>
        </is>
      </c>
    </row>
    <row r="8" ht="90" customHeight="1" s="13">
      <c r="A8" s="19" t="inlineStr">
        <is>
          <t>RF-07</t>
        </is>
      </c>
      <c r="B8" s="19" t="inlineStr">
        <is>
          <t>El sistema debe permitir realizar búsquedas de información.</t>
        </is>
      </c>
      <c r="C8" s="19" t="inlineStr">
        <is>
          <t>El sistema retorna resultados en menos de 2 segundos para búsquedas por nombre completo, nombre parcial o laboratorio, sobre un catálogo de hasta 500 registros. Los campos de búsqueda disponibles son: nombre del representante, nombre del laboratorio y folio de facturación. Ver RNF-05 para el requerimiento general de rendimiento.</t>
        </is>
      </c>
      <c r="D8" s="19" t="inlineStr">
        <is>
          <t>Must have</t>
        </is>
      </c>
      <c r="E8" s="19" t="inlineStr">
        <is>
          <t>Cliente (Entrevista 1)</t>
        </is>
      </c>
      <c r="F8" s="19" t="inlineStr">
        <is>
          <t>En revisión</t>
        </is>
      </c>
      <c r="G8" s="22" t="inlineStr">
        <is>
          <t>1.1</t>
        </is>
      </c>
      <c r="H8" s="19" t="inlineStr">
        <is>
          <t>Corrección v1.1: se añadió métrica de tiempo de respuesta (&lt; 2 seg), se definieron explícitamente los campos de búsqueda y se vinculó con RNF-05.</t>
        </is>
      </c>
    </row>
    <row r="9" ht="90" customHeight="1" s="13">
      <c r="A9" s="20" t="inlineStr">
        <is>
          <t>RF-08</t>
        </is>
      </c>
      <c r="B9" s="20" t="inlineStr">
        <is>
          <t>El sistema debe mostrar la información en forma de reporte en pantalla.</t>
        </is>
      </c>
      <c r="C9" s="20" t="inlineStr">
        <is>
          <t>El sistema presenta en pantalla un reporte con las siguientes columnas mínimas: laboratorio, número de representantes, estatus de carta invitación, estatus de facturación (folio y tipo), estatus de pago (fecha y folio REP). El reporte debe mostrar todos los registros existentes. La supervisora puede identificar el estatus completo de cualquier laboratorio sin necesidad de abrir otro registro.</t>
        </is>
      </c>
      <c r="D9" s="20" t="inlineStr">
        <is>
          <t>Must have</t>
        </is>
      </c>
      <c r="E9" s="20" t="inlineStr">
        <is>
          <t>Cliente (Entrevista 1)</t>
        </is>
      </c>
      <c r="F9" s="20" t="inlineStr">
        <is>
          <t>En revisión</t>
        </is>
      </c>
      <c r="G9" s="21" t="inlineStr">
        <is>
          <t>1.1</t>
        </is>
      </c>
      <c r="H9" s="20" t="inlineStr">
        <is>
          <t>Corrección v1.1: se definieron las columnas mínimas del reporte y se añadió criterio de aceptación medible. Si existe mockup de referencia, vincularlo aquí.</t>
        </is>
      </c>
    </row>
    <row r="10" ht="90" customHeight="1" s="13">
      <c r="A10" s="19" t="inlineStr">
        <is>
          <t>RF-09</t>
        </is>
      </c>
      <c r="B10" s="19" t="inlineStr">
        <is>
          <t>El sistema debe permitir actualizar la información de un representante médico.</t>
        </is>
      </c>
      <c r="C10" s="19" t="inlineStr">
        <is>
          <t>El usuario puede modificar datos previamente registrados (estatus, pagos, facturación, número de representantes) conforme avance el proceso. El sistema no mantiene historial de cambios en esta versión. Solo usuarios autenticados conforme a RNF-02 pueden realizar modificaciones.</t>
        </is>
      </c>
      <c r="D10" s="19" t="inlineStr">
        <is>
          <t>Must have</t>
        </is>
      </c>
      <c r="E10" s="19" t="inlineStr">
        <is>
          <t>Cliente (Entrevista 1)</t>
        </is>
      </c>
      <c r="F10" s="19" t="inlineStr">
        <is>
          <t>En revisión</t>
        </is>
      </c>
      <c r="G10" s="22" t="inlineStr">
        <is>
          <t>1.1</t>
        </is>
      </c>
      <c r="H10" s="19" t="inlineStr">
        <is>
          <t>Corrección v1.1: se aclaró que no hay historial de cambios en v1 y se vinculó con RNF-02 para control de acceso.</t>
        </is>
      </c>
    </row>
    <row r="11" ht="90" customHeight="1" s="13">
      <c r="A11" s="20" t="inlineStr">
        <is>
          <t>RF-10</t>
        </is>
      </c>
      <c r="B11" s="20" t="inlineStr">
        <is>
          <t>El sistema debe permitir visualizar todos los datos de un laboratorio en una sola vista de detalle.</t>
        </is>
      </c>
      <c r="C11" s="20" t="inlineStr">
        <is>
          <t>Al seleccionar un laboratorio desde el reporte (RF-08), el sistema abre una vista de detalle que muestra todos los campos del registro: datos del laboratorio, representantes, carta invitación, facturación y pago. Esta vista es diferente al reporte general: el reporte (RF-08) muestra todos los laboratorios en lista; esta vista muestra uno en detalle con todos sus campos.</t>
        </is>
      </c>
      <c r="D11" s="20" t="inlineStr">
        <is>
          <t>Should have</t>
        </is>
      </c>
      <c r="E11" s="20" t="inlineStr">
        <is>
          <t>Cliente (Entrevista 1)</t>
        </is>
      </c>
      <c r="F11" s="20" t="inlineStr">
        <is>
          <t>En revisión</t>
        </is>
      </c>
      <c r="G11" s="21" t="inlineStr">
        <is>
          <t>1.1</t>
        </is>
      </c>
      <c r="H11" s="20" t="inlineStr">
        <is>
          <t>Corrección v1.1: se diferenció explícitamente de RF-01 (búsqueda/consulta rápida) y RF-08 (reporte general). Se definió qué campos incluye la vista de detalle.</t>
        </is>
      </c>
    </row>
    <row r="12" ht="110" customHeight="1" s="13">
      <c r="A12" s="23" t="inlineStr">
        <is>
          <t>RF-11</t>
        </is>
      </c>
      <c r="B12" s="23" t="inlineStr">
        <is>
          <t>El sistema debe identificar visualmente el estado de cada proceso en el reporte mediante un código de colores.</t>
        </is>
      </c>
      <c r="C12" s="23" t="inlineStr">
        <is>
          <t>El reporte en pantalla muestra cada registro con un color de fondo o indicador visual que refleja su estado:
• Verde: proceso completado (carta invitación enviada, facturado y pago registrado).
• Amarillo: proceso en curso (al menos un paso completado pero faltan otros).
• Rojo: proceso cancelado o rechazado.
• Sin color / gris: proceso no iniciado (ningún campo completado).
El sistema actualiza el color automáticamente al guardar cambios en el registro.</t>
        </is>
      </c>
      <c r="D12" s="23" t="inlineStr">
        <is>
          <t>Must have</t>
        </is>
      </c>
      <c r="E12" s="23" t="inlineStr">
        <is>
          <t>Supervisora de Contabilidad (Entrevista 2)</t>
        </is>
      </c>
      <c r="F12" s="23" t="inlineStr">
        <is>
          <t>Propuesto</t>
        </is>
      </c>
      <c r="G12" s="23" t="inlineStr">
        <is>
          <t>1.0</t>
        </is>
      </c>
      <c r="H12" s="23" t="inlineStr">
        <is>
          <t>Requerimiento nuevo solicitado por la supervisora de contabilidad. Confirmar con cliente los estados exactos y si "cancelado" es un estado que el sistema debe permitir registrar explícitamente (posible RF adicional). Dependencia con RF-08 (reporte en pantalla).</t>
        </is>
      </c>
    </row>
    <row r="13">
      <c r="A13" s="23" t="inlineStr">
        <is>
          <t>RF-12</t>
        </is>
      </c>
      <c r="B13" s="23" t="inlineStr">
        <is>
          <t>El sistema debe contar con dos tipos de sesión diferenciados: sesión de Administrador y sesión de Representante Médico, con vistas y permisos distintos según el rol.</t>
        </is>
      </c>
      <c r="C13" s="23" t="inlineStr">
        <is>
          <t>Al iniciar sesión, el sistema identifica el rol del usuario (Administrador o Representante Médico) y redirige a la vista correspondiente. Un Administrador accede a la vista completa con capacidad de lectura y edición de todos los registros. Un Representante Médico accede únicamente a la vista de seguimiento personal (RF-13). No es posible acceder a la vista del otro rol sin cambiar de cuenta. La asignación de roles se gestiona por la Administradora.</t>
        </is>
      </c>
      <c r="D13" s="23" t="inlineStr">
        <is>
          <t>Must have</t>
        </is>
      </c>
      <c r="E13" s="23" t="inlineStr">
        <is>
          <t>Supervisora de Contabilidad (Entrevista 2)</t>
        </is>
      </c>
      <c r="F13" s="23" t="inlineStr">
        <is>
          <t>Propuesto</t>
        </is>
      </c>
      <c r="G13" s="23" t="inlineStr">
        <is>
          <t>1.0</t>
        </is>
      </c>
      <c r="H13" s="23" t="inlineStr">
        <is>
          <t>Requerimiento nuevo solicitado por la supervisora de contabilidad. Implica modificar RNF-02 para contemplar dos roles de usuario. Dependencia con RF-13 (vista del representante médico). Confirmar con cliente cómo se gestionará la creación/asignación de cuentas por rol.</t>
        </is>
      </c>
    </row>
    <row r="14">
      <c r="A14" s="23" t="inlineStr">
        <is>
          <t>RF-13</t>
        </is>
      </c>
      <c r="B14" s="23" t="inlineStr">
        <is>
          <t>El sistema debe mostrar al Representante Médico una vista personalizada de seguimiento de su proceso de credencialización, con el estado de cada etapa.</t>
        </is>
      </c>
      <c r="C14" s="23" t="inlineStr">
        <is>
          <t>Al iniciar sesión como Representante Médico, el sistema muestra exclusivamente las etapas del proceso de credencialización que le corresponden al usuario autenticado. La vista indica claramente: (1) etapas completadas (luz verde / aprobadas), (2) etapa en curso o pendiente de acción, y (3) etapas que faltan por completar. El representante no puede modificar ningún dato; la vista es de solo lectura. El sistema no muestra información de otros representantes ni datos administrativos como folios de facturación o pagos.</t>
        </is>
      </c>
      <c r="D14" s="23" t="inlineStr">
        <is>
          <t>Must have</t>
        </is>
      </c>
      <c r="E14" s="23" t="inlineStr">
        <is>
          <t>Supervisora de Contabilidad (Entrevista 2)</t>
        </is>
      </c>
      <c r="F14" s="23" t="inlineStr">
        <is>
          <t>Propuesto</t>
        </is>
      </c>
      <c r="G14" s="23" t="inlineStr">
        <is>
          <t>1.0</t>
        </is>
      </c>
      <c r="H14" s="23" t="inlineStr">
        <is>
          <t>Requerimiento nuevo solicitado por la supervisora de contabilidad. Vista de solo lectura; las modificaciones siguen siendo exclusivas del Administrador (RF-09). Confirmar con cliente: ¿cuáles son exactamente las etapas del proceso de credencialización que debe visualizar el representante? Dependencia con RF-12 (sistema de roles) y RF-11 (código de colores para estados).</t>
        </is>
      </c>
    </row>
  </sheetData>
  <autoFilter ref="A1:H95"/>
  <dataValidations count="2">
    <dataValidation sqref="D11 D12:E95" showDropDown="0" showInputMessage="0" showErrorMessage="0" allowBlank="0" type="list" errorStyle="stop" operator="between">
      <formula1>"Must have,Should have,Could have,Won't have"</formula1>
      <formula2>0</formula2>
    </dataValidation>
    <dataValidation sqref="F12:G95 G3:G11" showDropDown="0" showInputMessage="0" showErrorMessage="0" allowBlank="0" type="list" errorStyle="stop" operator="between">
      <formula1>"Propuesto,En revisión,Validado internamente,Validado con cliente,Rechazado"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baseColWidth="8" defaultColWidth="9.1484375" defaultRowHeight="15" zeroHeight="0" outlineLevelRow="0"/>
  <cols>
    <col width="10" customWidth="1" style="12" min="1" max="1"/>
    <col width="16" customWidth="1" style="12" min="2" max="2"/>
    <col width="52" customWidth="1" style="12" min="3" max="3"/>
    <col width="72" customWidth="1" style="12" min="4" max="4"/>
    <col width="14" customWidth="1" style="12" min="5" max="5"/>
    <col width="22" customWidth="1" style="12" min="6" max="7"/>
    <col width="10" customWidth="1" style="12" min="8" max="8"/>
    <col width="55" customWidth="1" style="12" min="9" max="9"/>
  </cols>
  <sheetData>
    <row r="1" ht="15" customHeight="1" s="13">
      <c r="A1" s="18" t="inlineStr">
        <is>
          <t>ID</t>
        </is>
      </c>
      <c r="B1" s="18" t="inlineStr">
        <is>
          <t>Categoría</t>
        </is>
      </c>
      <c r="C1" s="18" t="inlineStr">
        <is>
          <t>Descripción</t>
        </is>
      </c>
      <c r="D1" s="18" t="inlineStr">
        <is>
          <t>Criterio de Aceptación</t>
        </is>
      </c>
      <c r="E1" s="18" t="inlineStr">
        <is>
          <t>Prioridad</t>
        </is>
      </c>
      <c r="F1" s="18" t="inlineStr">
        <is>
          <t>Fuente</t>
        </is>
      </c>
      <c r="G1" s="18" t="inlineStr">
        <is>
          <t>Estado</t>
        </is>
      </c>
      <c r="H1" s="18" t="inlineStr">
        <is>
          <t>Versión</t>
        </is>
      </c>
      <c r="I1" s="18" t="inlineStr">
        <is>
          <t>Notas</t>
        </is>
      </c>
    </row>
    <row r="2" ht="90" customHeight="1" s="13">
      <c r="A2" s="19" t="inlineStr">
        <is>
          <t>RNF-01</t>
        </is>
      </c>
      <c r="B2" s="19" t="inlineStr">
        <is>
          <t>Usabilidad</t>
        </is>
      </c>
      <c r="C2" s="19" t="inlineStr">
        <is>
          <t>El sistema debe ser fácil de usar para usuarios con conocimientos básicos de tecnología.</t>
        </is>
      </c>
      <c r="D2" s="19" t="inlineStr">
        <is>
          <t>Un usuario nuevo puede completar el registro completo de un laboratorio (incluyendo carta invitación, facturación y pago) en menos de 5 minutos sin asistencia, en una prueba de usabilidad con la supervisora. Alternativamente, el sistema obtiene una puntuación SUS (System Usability Scale) ≥ 70 en la evaluación con usuarios finales.</t>
        </is>
      </c>
      <c r="E2" s="19" t="inlineStr">
        <is>
          <t>Must have</t>
        </is>
      </c>
      <c r="F2" s="19" t="inlineStr">
        <is>
          <t>Cliente (Entrevista 1)</t>
        </is>
      </c>
      <c r="G2" s="19" t="inlineStr">
        <is>
          <t>En revisión</t>
        </is>
      </c>
      <c r="H2" s="19" t="inlineStr">
        <is>
          <t>1.1</t>
        </is>
      </c>
      <c r="I2" s="19" t="inlineStr">
        <is>
          <t>Corrección v1.1: se reemplazó "clara e intuitiva sin capacitación avanzada" por métrica verificable (tiempo de tarea ≤ 5 min o SUS ≥ 70).</t>
        </is>
      </c>
    </row>
    <row r="3" ht="90" customHeight="1" s="13">
      <c r="A3" s="20" t="inlineStr">
        <is>
          <t>RNF-02</t>
        </is>
      </c>
      <c r="B3" s="20" t="inlineStr">
        <is>
          <t>Seguridad</t>
        </is>
      </c>
      <c r="C3" s="20" t="inlineStr">
        <is>
          <t>El sistema debe garantizar la protección de datos personales y organizacionales.</t>
        </is>
      </c>
      <c r="D3" s="20" t="inlineStr">
        <is>
          <t>Solo usuarios autorizados pueden acceder al sistema mediante autenticación con usuario y contraseña. La contraseña debe tener mínimo 8 caracteres con al menos una mayúscula y un número. La información no es accesible públicamente. En esta versión existe un único rol de usuario con acceso completo.</t>
        </is>
      </c>
      <c r="E3" s="20" t="inlineStr">
        <is>
          <t>Must have</t>
        </is>
      </c>
      <c r="F3" s="20" t="inlineStr">
        <is>
          <t>Cliente (Entrevista 1)</t>
        </is>
      </c>
      <c r="G3" s="20" t="inlineStr">
        <is>
          <t>En revisión</t>
        </is>
      </c>
      <c r="H3" s="21" t="inlineStr">
        <is>
          <t>1.1*</t>
        </is>
      </c>
      <c r="I3" s="20" t="inlineStr">
        <is>
          <t>Corrección v1.1: se especificó el mecanismo de autenticación, política de contraseñas y se aclaró que existe un solo rol en v1. ACTUALIZACIÓN: con RF-12 se incorporan dos roles (Administrador y Representante Médico); actualizar este RNF a v1.2 cuando RF-12 sea validado.</t>
        </is>
      </c>
    </row>
    <row r="4" ht="90" customHeight="1" s="13">
      <c r="A4" s="19" t="inlineStr">
        <is>
          <t>RNF-03</t>
        </is>
      </c>
      <c r="B4" s="19" t="inlineStr">
        <is>
          <t>Portabilidad</t>
        </is>
      </c>
      <c r="C4" s="19" t="inlineStr">
        <is>
          <t>El sistema debe ser accesible desde computadoras de escritorio sin instalación adicional.</t>
        </is>
      </c>
      <c r="D4" s="19" t="inlineStr">
        <is>
          <t>El sistema funciona correctamente en las versiones actuales de Google Chrome, Mozilla Firefox y Microsoft Edge en sistemas operativos Windows 10 o superior. No se contempla acceso desde dispositivos móviles ni tablets en esta versión.</t>
        </is>
      </c>
      <c r="E4" s="19" t="inlineStr">
        <is>
          <t>Must have</t>
        </is>
      </c>
      <c r="F4" s="19" t="inlineStr">
        <is>
          <t>Cliente (Entrevista 1)</t>
        </is>
      </c>
      <c r="G4" s="19" t="inlineStr">
        <is>
          <t>En revisión</t>
        </is>
      </c>
      <c r="H4" s="22" t="inlineStr">
        <is>
          <t>1.1</t>
        </is>
      </c>
      <c r="I4" s="19" t="inlineStr">
        <is>
          <t>Corrección v1.1: se completó la descripción (estaba truncada) y se especificaron los navegadores y sistemas operativos compatibles.</t>
        </is>
      </c>
    </row>
    <row r="5" ht="90" customHeight="1" s="13">
      <c r="A5" s="20" t="inlineStr">
        <is>
          <t>RNF-04</t>
        </is>
      </c>
      <c r="B5" s="20" t="inlineStr">
        <is>
          <t>Fiabilidad</t>
        </is>
      </c>
      <c r="C5" s="20" t="inlineStr">
        <is>
          <t>El sistema debe garantizar que los datos no se pierdan ante cierres inesperados o fallos del sistema.</t>
        </is>
      </c>
      <c r="D5" s="20" t="inlineStr">
        <is>
          <t>Ante un cierre inesperado del navegador o fallo del servidor, los datos guardados previamente por el usuario no se pierden. El sistema debe ser capaz de recuperarse y mostrar los últimos datos guardados en un tiempo máximo de 5 minutos. NOTA: la funcionalidad de guardado de registros incompletos es responsabilidad de RF-06; este RNF cubre la persistencia ante fallos.</t>
        </is>
      </c>
      <c r="E5" s="20" t="inlineStr">
        <is>
          <t>Should have</t>
        </is>
      </c>
      <c r="F5" s="20" t="inlineStr">
        <is>
          <t>Cliente (Entrevista 1)</t>
        </is>
      </c>
      <c r="G5" s="20" t="inlineStr">
        <is>
          <t>En revisión</t>
        </is>
      </c>
      <c r="H5" s="21" t="inlineStr">
        <is>
          <t>1.1</t>
        </is>
      </c>
      <c r="I5" s="20" t="inlineStr">
        <is>
          <t>Corrección v1.1: se añadió métrica de recuperación (≤ 5 min), se aclaró el alcance diferenciándolo de RF-06 para eliminar duplicidad.</t>
        </is>
      </c>
    </row>
    <row r="6" ht="90" customHeight="1" s="13">
      <c r="A6" s="19" t="inlineStr">
        <is>
          <t>RNF-05</t>
        </is>
      </c>
      <c r="B6" s="19" t="inlineStr">
        <is>
          <t>Rendimiento</t>
        </is>
      </c>
      <c r="C6" s="19" t="inlineStr">
        <is>
          <t>El sistema debe responder a consultas y búsquedas en tiempo aceptable.</t>
        </is>
      </c>
      <c r="D6" s="19" t="inlineStr">
        <is>
          <t>Cualquier consulta, búsqueda o carga de reporte se ejecuta en menos de 2 segundos sobre un catálogo de hasta 500 registros, en condiciones normales de uso (un usuario activo, conexión de red estándar de oficina). Ver RF-07 para los campos de búsqueda específicos.</t>
        </is>
      </c>
      <c r="E6" s="19" t="inlineStr">
        <is>
          <t>Should have</t>
        </is>
      </c>
      <c r="F6" s="19" t="inlineStr">
        <is>
          <t>Cliente (Entrevista 1)</t>
        </is>
      </c>
      <c r="G6" s="19" t="inlineStr">
        <is>
          <t>En revisión</t>
        </is>
      </c>
      <c r="H6" s="22" t="inlineStr">
        <is>
          <t>1.1</t>
        </is>
      </c>
      <c r="I6" s="19" t="inlineStr">
        <is>
          <t>Corrección v1.1: se reemplazó "de manera ágil, evitando tiempos prolongados" por métrica concreta (&lt; 2 seg / 500 registros) y se vinculó con RF-07.</t>
        </is>
      </c>
    </row>
  </sheetData>
  <autoFilter ref="A1:I99"/>
  <dataValidations count="3">
    <dataValidation sqref="B3:B99" showDropDown="0" showInputMessage="0" showErrorMessage="0" allowBlank="0" type="list" errorStyle="stop" operator="between">
      <formula1>"Usabilidad,Rendimiento,Seguridad,Confiabilidad,Portabilidad,Mantenibilidad,Disponibilidad"</formula1>
      <formula2>0</formula2>
    </dataValidation>
    <dataValidation sqref="D7:E99 E5:E6" showDropDown="0" showInputMessage="0" showErrorMessage="0" allowBlank="0" type="list" errorStyle="stop" operator="between">
      <formula1>"Must have,Should have,Could have,Won't have"</formula1>
      <formula2>0</formula2>
    </dataValidation>
    <dataValidation sqref="F7:G99" showDropDown="0" showInputMessage="0" showErrorMessage="0" allowBlank="0" type="list" errorStyle="stop" operator="between">
      <formula1>"Propuesto,En revisión,Validado internamente,Validado con cliente,Rechazado"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2" activeCellId="0" sqref="F12"/>
    </sheetView>
  </sheetViews>
  <sheetFormatPr baseColWidth="8" defaultColWidth="9.1484375" defaultRowHeight="15" zeroHeight="0" outlineLevelRow="0"/>
  <cols>
    <col width="40" customWidth="1" style="12" min="1" max="1"/>
    <col width="20" customWidth="1" style="12" min="2" max="2"/>
  </cols>
  <sheetData>
    <row r="1" ht="21" customHeight="1" s="13">
      <c r="A1" s="14" t="inlineStr">
        <is>
          <t>RESUMEN DE REQUERIMIENTOS</t>
        </is>
      </c>
    </row>
    <row r="3" ht="15" customHeight="1" s="13">
      <c r="A3" s="24" t="inlineStr">
        <is>
          <t>Esta hoja se actualizará automáticamente conforme agreguen requerimientos en las otras pestañas.</t>
        </is>
      </c>
    </row>
    <row r="5" ht="15" customHeight="1" s="13">
      <c r="A5" s="25" t="inlineStr">
        <is>
          <t>Métrica</t>
        </is>
      </c>
      <c r="B5" s="25" t="inlineStr">
        <is>
          <t>Valor</t>
        </is>
      </c>
    </row>
    <row r="6" ht="15" customHeight="1" s="13">
      <c r="A6" s="12" t="inlineStr">
        <is>
          <t>Total de Requerimientos Funcionales</t>
        </is>
      </c>
      <c r="B6" s="12">
        <f>COUNTA('RF - Funcionales'!A2:A95)-COUNTBLANK('RF - Funcionales'!A2:A95)</f>
        <v/>
      </c>
    </row>
    <row r="7" ht="15" customHeight="1" s="13">
      <c r="A7" s="12" t="inlineStr">
        <is>
          <t>Total de Requerimientos No Funcionales</t>
        </is>
      </c>
      <c r="B7" s="12">
        <f>COUNTA('RNF - No Funcionales'!A2:A99)-COUNTBLANK('RNF - No Funcionales'!A2:A99)</f>
        <v/>
      </c>
    </row>
    <row r="8" ht="15" customHeight="1" s="13">
      <c r="A8" s="12" t="inlineStr">
        <is>
          <t>Total General</t>
        </is>
      </c>
      <c r="B8" s="12">
        <f>B6+B7</f>
        <v/>
      </c>
    </row>
    <row r="10" ht="15" customHeight="1" s="13">
      <c r="A10" s="25" t="inlineStr">
        <is>
          <t>Requerimientos por Prioridad</t>
        </is>
      </c>
    </row>
    <row r="11" ht="15" customHeight="1" s="13">
      <c r="A11" s="12" t="inlineStr">
        <is>
          <t>Must have (RF + RNF)</t>
        </is>
      </c>
      <c r="B11" s="12">
        <f>COUNTIF('RF - Funcionales'!D:D,"Must have")+COUNTIF('RNF - No Funcionales'!E:E,"Must have")</f>
        <v/>
      </c>
    </row>
    <row r="12" ht="15" customHeight="1" s="13">
      <c r="A12" s="12" t="inlineStr">
        <is>
          <t>Should have (RF + RNF)</t>
        </is>
      </c>
      <c r="B12" s="12">
        <f>COUNTIF('RF - Funcionales'!D:D,"Should have")+COUNTIF('RNF - No Funcionales'!E:E,"Should have")</f>
        <v/>
      </c>
    </row>
    <row r="13" ht="15" customHeight="1" s="13">
      <c r="A13" s="12" t="inlineStr">
        <is>
          <t>Could have (RF + RNF)</t>
        </is>
      </c>
      <c r="B13" s="12">
        <f>COUNTIF('RF - Funcionales'!D:D,"Could have")+COUNTIF('RNF - No Funcionales'!E:E,"Could have")</f>
        <v/>
      </c>
    </row>
    <row r="14" ht="15" customHeight="1" s="13">
      <c r="A14" s="12" t="inlineStr">
        <is>
          <t>Won't have (RF + RNF)</t>
        </is>
      </c>
      <c r="B14" s="12">
        <f>COUNTIF('RF - Funcionales'!D:D,"Won't have")+COUNTIF('RNF - No Funcionales'!E:E,"Won't have")</f>
        <v/>
      </c>
    </row>
    <row r="16" ht="15" customHeight="1" s="13">
      <c r="A16" s="25" t="inlineStr">
        <is>
          <t>Requerimientos por Estado</t>
        </is>
      </c>
    </row>
    <row r="17" ht="15" customHeight="1" s="13">
      <c r="A17" s="12" t="inlineStr">
        <is>
          <t>Propuesto</t>
        </is>
      </c>
      <c r="B17" s="12">
        <f>COUNTIF('RF - Funcionales'!F:F,"Propuesto")+COUNTIF('RNF - No Funcionales'!G:G,"Propuesto")</f>
        <v/>
      </c>
    </row>
    <row r="18" ht="15" customHeight="1" s="13">
      <c r="A18" s="12" t="inlineStr">
        <is>
          <t>En revisión</t>
        </is>
      </c>
      <c r="B18" s="12">
        <f>COUNTIF('RF - Funcionales'!F:F,"En revisión")+COUNTIF('RNF - No Funcionales'!G:G,"En revisión")</f>
        <v/>
      </c>
    </row>
    <row r="19" ht="15" customHeight="1" s="13">
      <c r="A19" s="12" t="inlineStr">
        <is>
          <t>Validado internamente</t>
        </is>
      </c>
      <c r="B19" s="12">
        <f>COUNTIF('RF - Funcionales'!F:F,"Validado internamente")+COUNTIF('RNF - No Funcionales'!G:G,"Validado internamente")</f>
        <v/>
      </c>
    </row>
    <row r="20" ht="15" customHeight="1" s="13">
      <c r="A20" s="12" t="inlineStr">
        <is>
          <t>Validado con cliente</t>
        </is>
      </c>
      <c r="B20" s="12">
        <f>COUNTIF('RF - Funcionales'!F:F,"Validado con cliente")+COUNTIF('RNF - No Funcionales'!G:G,"Validado con cliente")</f>
        <v/>
      </c>
    </row>
    <row r="21" ht="15" customHeight="1" s="13">
      <c r="A21" s="12" t="inlineStr">
        <is>
          <t>Rechazado</t>
        </is>
      </c>
      <c r="B21" s="12">
        <f>COUNTIF('RF - Funcionales'!F:F,"Rechazado")+COUNTIF('RNF - No Funcionales'!G:G,"Rechazado")</f>
        <v/>
      </c>
    </row>
  </sheetData>
  <mergeCells count="2">
    <mergeCell ref="A1:D1"/>
    <mergeCell ref="A3:D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2026-03-22T19:30:30Z</dcterms:created>
  <dcterms:modified xmlns:dcterms="http://purl.org/dc/terms/" xmlns:xsi="http://www.w3.org/2001/XMLSchema-instance" xsi:type="dcterms:W3CDTF">2026-06-18T20:05:05Z</dcterms:modified>
  <cp:lastModifiedBy>Adrian Casillas</cp:lastModifiedBy>
  <cp:revision>0</cp:revision>
</cp:coreProperties>
</file>