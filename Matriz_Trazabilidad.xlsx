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asies\Downloads\FinalRequerimientos\"/>
    </mc:Choice>
  </mc:AlternateContent>
  <xr:revisionPtr revIDLastSave="0" documentId="13_ncr:1_{82837AB1-1A2C-454D-B538-582987137C1C}" xr6:coauthVersionLast="46" xr6:coauthVersionMax="46" xr10:uidLastSave="{00000000-0000-0000-0000-000000000000}"/>
  <bookViews>
    <workbookView xWindow="210" yWindow="0" windowWidth="20280" windowHeight="10800" tabRatio="500" activeTab="1" xr2:uid="{00000000-000D-0000-FFFF-FFFF00000000}"/>
  </bookViews>
  <sheets>
    <sheet name="Instrucciones" sheetId="1" r:id="rId1"/>
    <sheet name="Trazabilidad" sheetId="2" r:id="rId2"/>
    <sheet name="Resumen Cobertura" sheetId="3" r:id="rId3"/>
  </sheets>
  <definedNames>
    <definedName name="_xlnm._FilterDatabase" localSheetId="1" hidden="1">Trazabilidad!$A$3:$J$200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3" l="1"/>
  <c r="B12" i="3"/>
  <c r="B10" i="3"/>
  <c r="B9" i="3"/>
  <c r="B8" i="3"/>
  <c r="B7" i="3"/>
  <c r="B6" i="3"/>
</calcChain>
</file>

<file path=xl/sharedStrings.xml><?xml version="1.0" encoding="utf-8"?>
<sst xmlns="http://schemas.openxmlformats.org/spreadsheetml/2006/main" count="249" uniqueCount="162">
  <si>
    <t>MATRIZ DE TRAZABILIDAD — INSTRUCCIONES</t>
  </si>
  <si>
    <t>¿Qué es la Matriz de Trazabilidad?</t>
  </si>
  <si>
    <t>Documenta la relación entre cada requerimiento de la matriz y su implementación visible en el prototipo. Permite demostrar que el prototipo cubre los requerimientos especificados y que ninguno quedó sin representar.</t>
  </si>
  <si>
    <t>¿Cómo llenar esta matriz?</t>
  </si>
  <si>
    <t>1. Copien los IDs de requerimientos desde Matriz_Requerimientos.xlsx (columna ID).</t>
  </si>
  <si>
    <t>2. Para cada requerimiento, identifiquen en qué pantalla(s) del prototipo es visible.</t>
  </si>
  <si>
    <t>3. Indiquen la sección o componente específico dentro de la pantalla (ej: 'Formulario sección 2 - campo Diagnóstico').</t>
  </si>
  <si>
    <t>4. Asignen el estado de cobertura con el menú desplegable.</t>
  </si>
  <si>
    <t>5. Marquen si fue validado con el cliente durante la sesión de revisión del prototipo.</t>
  </si>
  <si>
    <t>6. Agreguen observaciones si el requerimiento fue ajustado o está pendiente.</t>
  </si>
  <si>
    <t>Estados de cobertura:</t>
  </si>
  <si>
    <t xml:space="preserve">  • Cubierto: El prototipo implementa completamente el requerimiento tal como fue especificado.</t>
  </si>
  <si>
    <t xml:space="preserve">  • Parcialmente cubierto: El prototipo muestra parte del requerimiento. Indicar qué falta en Observaciones.</t>
  </si>
  <si>
    <t xml:space="preserve">  • No cubierto: El requerimiento NO está representado en el prototipo (ej: RNF de rendimiento).</t>
  </si>
  <si>
    <t xml:space="preserve">  • No aplica al prototipo: Requerimientos que por naturaleza no son visibles (ej: respaldos automáticos).</t>
  </si>
  <si>
    <t>Consejo:</t>
  </si>
  <si>
    <t>Los RNF técnicos (rendimiento, seguridad, disponibilidad) generalmente NO se cubren con prototipo HTML. Márcalos como 'No aplica al prototipo' y anota cómo se validarán más adelante.</t>
  </si>
  <si>
    <t>¿Cómo identificar las pantallas? (columna 'ID Pantalla')</t>
  </si>
  <si>
    <t>El ID de pantalla (PNT-01, PNT-02...) es un código que SU EQUIPO inventa para identificar cada pantalla del prototipo. No existe un estándar externo — simplemente asignen un número secuencial a cada pantalla.</t>
  </si>
  <si>
    <t>Pasos para definir los IDs:</t>
  </si>
  <si>
    <t>1.  Abran su prototipo HTML y listen todas las pantallas que tiene.</t>
  </si>
  <si>
    <t>2.  Asignen PNT-01 a la primera, PNT-02 a la segunda, y así sucesivamente.</t>
  </si>
  <si>
    <t>3.  Usen esos mismos IDs en esta matriz, en la Especificación Final y en el README de GitHub.</t>
  </si>
  <si>
    <t>⚠️  Regla crítica: un ID que aparece en esta matriz DEBE existir con ese mismo nombre en el prototipo. Si cambian el nombre de una pantalla en el HTML, actualicen la matriz.</t>
  </si>
  <si>
    <t>Ejemplo de lista de pantallas para un sistema de guías de valoración:</t>
  </si>
  <si>
    <t>ID Pantalla</t>
  </si>
  <si>
    <t>Nombre descriptivo</t>
  </si>
  <si>
    <t>PNT-01</t>
  </si>
  <si>
    <t>Login / Inicio de sesión</t>
  </si>
  <si>
    <t>PNT-02</t>
  </si>
  <si>
    <t>Dashboard — vista general del estudiante</t>
  </si>
  <si>
    <t>PNT-03</t>
  </si>
  <si>
    <t>Captura de guía de valoración</t>
  </si>
  <si>
    <t>PNT-04</t>
  </si>
  <si>
    <t>Historial de guías del paciente</t>
  </si>
  <si>
    <t>PNT-05</t>
  </si>
  <si>
    <t>Panel de revisión del docente</t>
  </si>
  <si>
    <t>PNT-06</t>
  </si>
  <si>
    <t>Administración de plantillas (coordinador)</t>
  </si>
  <si>
    <t>¿Qué nivel de detalle se espera? (columna 'Sección / Componente')</t>
  </si>
  <si>
    <t>Esta columna ubica DENTRO de una pantalla el lugar exacto donde el requerimiento es visible. No basta con nombrar la pantalla — hay que señalar el elemento específico.</t>
  </si>
  <si>
    <t>Piénsenlo así: alguien que nunca ha visto su prototipo debe poder abrir el HTML y encontrar ese elemento en menos de 30 segundos con su descripción.</t>
  </si>
  <si>
    <t>Ejemplos: descripción vaga vs. descripción útil</t>
  </si>
  <si>
    <t>❌  Descripción vaga (no aceptable)</t>
  </si>
  <si>
    <t>✅  Descripción específica (lo que se espera)</t>
  </si>
  <si>
    <t>❌  'Pantalla de captura'</t>
  </si>
  <si>
    <t>✅  'Formulario principal — sección Patrón nutricional, campo Tipo de dieta'</t>
  </si>
  <si>
    <t>❌  'Menú'</t>
  </si>
  <si>
    <t>✅  'Barra de navegación lateral, ítem Mis guías'</t>
  </si>
  <si>
    <t>❌  'Login'</t>
  </si>
  <si>
    <t>✅  'Selector de rol debajo del campo de contraseña'</t>
  </si>
  <si>
    <t>❌  'Pantalla del docente'</t>
  </si>
  <si>
    <t>✅  'Tabla de guías del grupo, columna Estado — botón Ver detalle'</t>
  </si>
  <si>
    <t>❌  'Dashboard'</t>
  </si>
  <si>
    <t>✅  'Tarjeta resumen en esquina superior derecha — contador de guías pendientes'</t>
  </si>
  <si>
    <t>Casos especiales — ¿qué poner cuando el requerimiento no es visible en el prototipo?</t>
  </si>
  <si>
    <t>• No aplica al prototipo: Requerimientos técnicos no visibles en HTML estático: rendimiento, seguridad, respaldos, disponibilidad. Ejemplo: RNF-03 (responder en &lt;3 seg). Dejar vacías las columnas ID Pantalla y Sección/Componente, y explicar en Observaciones cómo se validaría en implementación real.</t>
  </si>
  <si>
    <t>• No cubierto: El requerimiento SÍ debería ser visible en el prototipo pero aún no está implementado. Documentarlo así y no omitirlo — la transparencia es parte de la evaluación.</t>
  </si>
  <si>
    <t>• Parcialmente cubierto: El prototipo muestra parte del requerimiento pero no todo. En Observaciones indicar qué falta exactamente.</t>
  </si>
  <si>
    <t>MATRIZ DE TRAZABILIDAD — REQUERIMIENTOS ↔ PROTOTIPO</t>
  </si>
  <si>
    <t>REQUERIMIENTO</t>
  </si>
  <si>
    <t>UBICACIÓN EN EL PROTOTIPO</t>
  </si>
  <si>
    <t>VALIDACIÓN</t>
  </si>
  <si>
    <t>ID Req.</t>
  </si>
  <si>
    <t>Tipo</t>
  </si>
  <si>
    <t>Descripción
(breve)</t>
  </si>
  <si>
    <t>Prioridad</t>
  </si>
  <si>
    <t>Nombre
Pantalla</t>
  </si>
  <si>
    <t>Sección /
Componente</t>
  </si>
  <si>
    <t>Cobertura</t>
  </si>
  <si>
    <t>Validado
con cliente</t>
  </si>
  <si>
    <t>Observaciones</t>
  </si>
  <si>
    <t>RF-01</t>
  </si>
  <si>
    <t>RF</t>
  </si>
  <si>
    <t>Consultar estatus de cada representante médico</t>
  </si>
  <si>
    <t>Must have</t>
  </si>
  <si>
    <t>Reporte General</t>
  </si>
  <si>
    <t>Tabla de laboratorios — columnas Carta, Facturación, Pago y Reps.; fila muestra 'Sin información' si campo vacío</t>
  </si>
  <si>
    <t>Cubierto</t>
  </si>
  <si>
    <t>Sí</t>
  </si>
  <si>
    <t>RF-02</t>
  </si>
  <si>
    <t>Registrar y visualizar número de representantes por laboratorio</t>
  </si>
  <si>
    <t>PNT-02; PNT-05</t>
  </si>
  <si>
    <t>Reporte General; Modal Detalle/Editar</t>
  </si>
  <si>
    <t>Reporte: columna '# Reps' con valor numérico. Modal: campo 'N.º representantes' con validación de entero positivo y mensaje de error ante valor inválido</t>
  </si>
  <si>
    <t>RF-03</t>
  </si>
  <si>
    <t>Indicar si se ha enviado la carta invitación</t>
  </si>
  <si>
    <t>Modal Detalle/Editar</t>
  </si>
  <si>
    <t>Sección Carta Invitación — toggle Sí/No; estado persiste al reabrir el registro</t>
  </si>
  <si>
    <t>RF-04</t>
  </si>
  <si>
    <t>Registrar y consultar la facturación</t>
  </si>
  <si>
    <t>Sección Facturación — campo Folio (máx. 20 car.) y selector Tipo factura (PUE/PPD); dependencia con RF-05 representada bloqueando pago si no hay factura</t>
  </si>
  <si>
    <t>RF-05</t>
  </si>
  <si>
    <t>Registrar y consultar el estado de pago</t>
  </si>
  <si>
    <t>Sección Pago — campo Fecha (DD/MM/AAAA), campo Folio REP y advertencia de duplicado; habilitado solo cuando existe factura asociada</t>
  </si>
  <si>
    <t>RF-06</t>
  </si>
  <si>
    <t>Almacenar registros incompletos y actualizarlos después</t>
  </si>
  <si>
    <t>Botón 'Guardar cambios' disponible aunque campos opcionales estén vacíos; datos persisten entre sesiones</t>
  </si>
  <si>
    <t>RF-07</t>
  </si>
  <si>
    <t>Buscar información por nombre, laboratorio o folio</t>
  </si>
  <si>
    <t>Buscar Laboratorio</t>
  </si>
  <si>
    <t>Campo de búsqueda — filtra por nombre de representante, nombre de laboratorio y folio de facturación en tiempo real</t>
  </si>
  <si>
    <t>RF-08</t>
  </si>
  <si>
    <t>Mostrar información en forma de reporte en pantalla</t>
  </si>
  <si>
    <t>Tabla con columnas: Laboratorio, # Reps, Carta Invitación, Facturación (folio/tipo), Pago (fecha/folio REP); muestra todos los registros existentes</t>
  </si>
  <si>
    <t>RF-09</t>
  </si>
  <si>
    <t>Actualizar información de un representante médico</t>
  </si>
  <si>
    <t>Botón 'Editar' en modal — permite modificar todos los campos del registro; solo accesible para usuarios autenticados como Administrador</t>
  </si>
  <si>
    <t>Sin historial de cambios en esta versión (conforme a RNF-02)</t>
  </si>
  <si>
    <t>RF-10</t>
  </si>
  <si>
    <t>Visualizar todos los datos de un laboratorio en una vista de detalle</t>
  </si>
  <si>
    <t>Should have</t>
  </si>
  <si>
    <t>Modal de detalle abierto al hacer clic en una fila del reporte — muestra todos los campos: datos del laboratorio, representantes, carta, facturación y pago</t>
  </si>
  <si>
    <t>Vista diferenciada del reporte general (RF-08)</t>
  </si>
  <si>
    <t>RF-11</t>
  </si>
  <si>
    <t>Identificar visualmente el estado de cada proceso con código de colores</t>
  </si>
  <si>
    <t>Borde izquierdo de cada fila: verde (completo), amarillo (en curso), rojo (cancelado), gris (no iniciado); se actualiza automáticamente al guardar cambios</t>
  </si>
  <si>
    <t>RF-12</t>
  </si>
  <si>
    <t>Dos tipos de sesión: Administrador y Representante Médico con vistas y permisos distintos</t>
  </si>
  <si>
    <t>Login</t>
  </si>
  <si>
    <t>Selector de rol 'Administrador / Representante' antes del botón Entrar; redirige a vistas distintas y oculta opciones según rol</t>
  </si>
  <si>
    <t>Sidebar muestra 'Mi Proceso' solo para Representante; 'Nuevo Registro' solo para Administrador</t>
  </si>
  <si>
    <t>RF-13</t>
  </si>
  <si>
    <t>Vista personalizada de seguimiento del proceso de credencialización para el Representante Médico</t>
  </si>
  <si>
    <t>Mi Proceso</t>
  </si>
  <si>
    <t>Pantalla Mi Proceso — tarjetas de etapas (Carta Invitación, Facturación, Pago) con indicadores verde/azul/gris según avance; vista de solo lectura</t>
  </si>
  <si>
    <t>El representante no puede editar datos; no se muestran datos de otros representantes ni folios administrativos</t>
  </si>
  <si>
    <t>RNF-01</t>
  </si>
  <si>
    <t>RNF</t>
  </si>
  <si>
    <t>Fácil de usar para usuarios con conocimientos básicos de tecnología</t>
  </si>
  <si>
    <t>Interfaz con etiquetas claras, tooltips de ayuda y mensajes de error en línea que guían al usuario sin capacitación previa</t>
  </si>
  <si>
    <t>Parcialmente cubierto</t>
  </si>
  <si>
    <t>Métrica SUS ≥ 70 o tarea ≤ 5 min a validar con prueba de usabilidad real; prototipo demuestra la estructura de flujo</t>
  </si>
  <si>
    <t>RNF-02</t>
  </si>
  <si>
    <t>Protección de datos personales y organizacionales mediante autenticación</t>
  </si>
  <si>
    <t>Formulario de inicio de sesión con campos Usuario y Contraseña; política de contraseña indicada (mín. 8 car., 1 mayúscula, 1 número); dos roles diferenciados</t>
  </si>
  <si>
    <t>Prototipo muestra el flujo de autenticación y roles; cifrado, sesiones y almacenamiento seguro a implementar en backend</t>
  </si>
  <si>
    <t>RNF-03</t>
  </si>
  <si>
    <t>Accesible desde navegadores de escritorio sin instalación (Chrome, Firefox, Edge / Windows 10+)</t>
  </si>
  <si>
    <t>PNT-01; PNT-02</t>
  </si>
  <si>
    <t>Login; Reporte General</t>
  </si>
  <si>
    <t>Prototipo HTML estático — funciona directamente en navegador sin plugins adicionales</t>
  </si>
  <si>
    <t>Compatible con Chrome, Firefox y Edge en escritorio; no se contempla acceso móvil en v1</t>
  </si>
  <si>
    <t>RNF-04</t>
  </si>
  <si>
    <t>Garantizar que los datos no se pierdan ante cierres inesperados o fallos del sistema</t>
  </si>
  <si>
    <t>No aplica al prototipo</t>
  </si>
  <si>
    <t>—</t>
  </si>
  <si>
    <t>Requerimiento de fiabilidad/persistencia; no demostrable en HTML estático. Validar en implementación con base de datos real (recuperación ≤ 5 min)</t>
  </si>
  <si>
    <t>RNF-05</t>
  </si>
  <si>
    <t>Responder a consultas y búsquedas en menos de 2 segundos sobre 500 registros</t>
  </si>
  <si>
    <t>Requerimiento de rendimiento; no medible en prototipo estático. Validar con pruebas de carga en implementación real</t>
  </si>
  <si>
    <t>RESUMEN DE COBERTURA DE REQUERIMIENTOS EN EL PROTOTIPO</t>
  </si>
  <si>
    <t>Este resumen se actualiza automáticamente con los datos de la hoja Trazabilidad.</t>
  </si>
  <si>
    <t>Métrica</t>
  </si>
  <si>
    <t>Valor</t>
  </si>
  <si>
    <t>Total de requerimientos en la matriz</t>
  </si>
  <si>
    <t>Cubiertos completamente</t>
  </si>
  <si>
    <t>Parcialmente cubiertos</t>
  </si>
  <si>
    <t>No cubiertos</t>
  </si>
  <si>
    <t>No aplican al prototipo</t>
  </si>
  <si>
    <t>Validados con cliente (Sí)</t>
  </si>
  <si>
    <t>Pendientes de validación con cliente (No)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</si>
</sst>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b/>
      <sz val="11"/>
      <color rgb="FF1F4E79"/>
      <name val="Arial"/>
      <charset val="1"/>
    </font>
    <font>
      <sz val="11"/>
      <color rgb="FF404040"/>
      <name val="Arial"/>
      <charset val="1"/>
    </font>
    <font>
      <b/>
      <sz val="12"/>
      <color rgb="FF1F4E79"/>
      <name val="Arial"/>
      <charset val="1"/>
    </font>
    <font>
      <b/>
      <sz val="11"/>
      <color rgb="FF404040"/>
      <name val="Arial"/>
      <charset val="1"/>
    </font>
    <font>
      <sz val="11"/>
      <color rgb="FF833C00"/>
      <name val="Arial"/>
      <charset val="1"/>
    </font>
    <font>
      <b/>
      <sz val="10"/>
      <color rgb="FFFFFFFF"/>
      <name val="Arial"/>
      <charset val="1"/>
    </font>
    <font>
      <i/>
      <sz val="10"/>
      <name val="Arial"/>
      <charset val="1"/>
    </font>
    <font>
      <i/>
      <sz val="11"/>
      <color rgb="FF375623"/>
      <name val="Arial"/>
      <charset val="1"/>
    </font>
    <font>
      <sz val="10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10"/>
      <color rgb="FF16A34A"/>
      <name val="Cambria"/>
      <charset val="1"/>
    </font>
    <font>
      <b/>
      <sz val="10"/>
      <color rgb="FFD97706"/>
      <name val="Cambria"/>
      <charset val="1"/>
    </font>
    <font>
      <b/>
      <sz val="10"/>
      <color rgb="FF6B7280"/>
      <name val="Cambria"/>
      <charset val="1"/>
    </font>
    <font>
      <b/>
      <sz val="14"/>
      <color rgb="FF1F4E79"/>
      <name val="Arial"/>
      <charset val="1"/>
    </font>
    <font>
      <i/>
      <sz val="10"/>
      <color rgb="FF59595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 indent="2"/>
    </xf>
    <xf numFmtId="0" fontId="6" fillId="0" borderId="0" xfId="0" applyFont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9" fillId="0" borderId="0" xfId="0" applyFont="1" applyAlignment="1">
      <alignment wrapText="1"/>
    </xf>
    <xf numFmtId="0" fontId="10" fillId="0" borderId="1" xfId="0" applyFont="1" applyBorder="1" applyAlignment="1">
      <alignment wrapText="1" indent="2"/>
    </xf>
    <xf numFmtId="0" fontId="13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2" fillId="2" borderId="1" xfId="0" applyFont="1" applyFill="1" applyBorder="1" applyAlignment="1">
      <alignment horizontal="center" vertical="top" wrapText="1"/>
    </xf>
    <xf numFmtId="0" fontId="1" fillId="0" borderId="0" xfId="0" applyFont="1"/>
    <xf numFmtId="0" fontId="11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595959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E2EFDA"/>
      <rgbColor rgb="FFFFF2CC"/>
      <rgbColor rgb="FFF2F2F2"/>
      <rgbColor rgb="FFF8F8F8"/>
      <rgbColor rgb="FFCC99FF"/>
      <rgbColor rgb="FFFFE6E6"/>
      <rgbColor rgb="FF2E74B5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16A34A"/>
      <rgbColor rgb="FF003300"/>
      <rgbColor rgb="FF375623"/>
      <rgbColor rgb="FF833C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zoomScaleNormal="100" workbookViewId="0"/>
  </sheetViews>
  <sheetFormatPr baseColWidth="10" defaultColWidth="8.7109375" defaultRowHeight="15" x14ac:dyDescent="0.25"/>
  <cols>
    <col min="1" max="2" width="60" customWidth="1"/>
  </cols>
  <sheetData>
    <row r="1" spans="1:7" ht="30" customHeight="1" x14ac:dyDescent="0.3">
      <c r="A1" s="19" t="s">
        <v>0</v>
      </c>
      <c r="B1" s="19"/>
      <c r="C1" s="19"/>
      <c r="D1" s="19"/>
      <c r="E1" s="19"/>
      <c r="F1" s="19"/>
      <c r="G1" s="19"/>
    </row>
    <row r="3" spans="1:7" ht="30" customHeight="1" x14ac:dyDescent="0.25">
      <c r="A3" s="1" t="s">
        <v>1</v>
      </c>
    </row>
    <row r="4" spans="1:7" ht="19.5" customHeight="1" x14ac:dyDescent="0.25">
      <c r="A4" s="2" t="s">
        <v>2</v>
      </c>
    </row>
    <row r="6" spans="1:7" ht="30" customHeight="1" x14ac:dyDescent="0.25">
      <c r="A6" s="1" t="s">
        <v>3</v>
      </c>
    </row>
    <row r="7" spans="1:7" ht="19.5" customHeight="1" x14ac:dyDescent="0.25">
      <c r="A7" s="2" t="s">
        <v>4</v>
      </c>
    </row>
    <row r="8" spans="1:7" ht="19.5" customHeight="1" x14ac:dyDescent="0.25">
      <c r="A8" s="2" t="s">
        <v>5</v>
      </c>
    </row>
    <row r="9" spans="1:7" ht="19.5" customHeight="1" x14ac:dyDescent="0.25">
      <c r="A9" s="2" t="s">
        <v>6</v>
      </c>
    </row>
    <row r="10" spans="1:7" ht="19.5" customHeight="1" x14ac:dyDescent="0.25">
      <c r="A10" s="2" t="s">
        <v>7</v>
      </c>
    </row>
    <row r="11" spans="1:7" ht="19.5" customHeight="1" x14ac:dyDescent="0.25">
      <c r="A11" s="2" t="s">
        <v>8</v>
      </c>
    </row>
    <row r="12" spans="1:7" ht="19.5" customHeight="1" x14ac:dyDescent="0.25">
      <c r="A12" s="2" t="s">
        <v>9</v>
      </c>
    </row>
    <row r="14" spans="1:7" ht="30" customHeight="1" x14ac:dyDescent="0.25">
      <c r="A14" s="1" t="s">
        <v>10</v>
      </c>
    </row>
    <row r="15" spans="1:7" ht="19.5" customHeight="1" x14ac:dyDescent="0.25">
      <c r="A15" s="2" t="s">
        <v>11</v>
      </c>
    </row>
    <row r="16" spans="1:7" ht="19.5" customHeight="1" x14ac:dyDescent="0.25">
      <c r="A16" s="2" t="s">
        <v>12</v>
      </c>
    </row>
    <row r="17" spans="1:1" ht="19.5" customHeight="1" x14ac:dyDescent="0.25">
      <c r="A17" s="2" t="s">
        <v>13</v>
      </c>
    </row>
    <row r="18" spans="1:1" ht="19.5" customHeight="1" x14ac:dyDescent="0.25">
      <c r="A18" s="2" t="s">
        <v>14</v>
      </c>
    </row>
    <row r="20" spans="1:1" ht="30" customHeight="1" x14ac:dyDescent="0.25">
      <c r="A20" s="1" t="s">
        <v>15</v>
      </c>
    </row>
    <row r="21" spans="1:1" ht="19.5" customHeight="1" x14ac:dyDescent="0.25">
      <c r="A21" s="2" t="s">
        <v>16</v>
      </c>
    </row>
    <row r="23" spans="1:1" ht="6" customHeight="1" x14ac:dyDescent="0.25"/>
    <row r="24" spans="1:1" ht="21.75" customHeight="1" x14ac:dyDescent="0.25">
      <c r="A24" s="3" t="s">
        <v>17</v>
      </c>
    </row>
    <row r="25" spans="1:1" ht="18" customHeight="1" x14ac:dyDescent="0.25">
      <c r="A25" s="2" t="s">
        <v>18</v>
      </c>
    </row>
    <row r="26" spans="1:1" ht="18" customHeight="1" x14ac:dyDescent="0.25">
      <c r="A26" s="4" t="s">
        <v>19</v>
      </c>
    </row>
    <row r="27" spans="1:1" ht="18" customHeight="1" x14ac:dyDescent="0.25">
      <c r="A27" s="5" t="s">
        <v>20</v>
      </c>
    </row>
    <row r="28" spans="1:1" ht="18" customHeight="1" x14ac:dyDescent="0.25">
      <c r="A28" s="5" t="s">
        <v>21</v>
      </c>
    </row>
    <row r="29" spans="1:1" ht="18" customHeight="1" x14ac:dyDescent="0.25">
      <c r="A29" s="5" t="s">
        <v>22</v>
      </c>
    </row>
    <row r="30" spans="1:1" ht="27.75" customHeight="1" x14ac:dyDescent="0.25">
      <c r="A30" s="6" t="s">
        <v>23</v>
      </c>
    </row>
    <row r="32" spans="1:1" ht="18" customHeight="1" x14ac:dyDescent="0.25">
      <c r="A32" s="4" t="s">
        <v>24</v>
      </c>
    </row>
    <row r="33" spans="1:2" ht="19.5" customHeight="1" x14ac:dyDescent="0.25">
      <c r="A33" s="7" t="s">
        <v>25</v>
      </c>
      <c r="B33" s="7" t="s">
        <v>26</v>
      </c>
    </row>
    <row r="34" spans="1:2" ht="36" customHeight="1" x14ac:dyDescent="0.25">
      <c r="A34" s="8" t="s">
        <v>27</v>
      </c>
      <c r="B34" s="8" t="s">
        <v>28</v>
      </c>
    </row>
    <row r="35" spans="1:2" ht="36" customHeight="1" x14ac:dyDescent="0.25">
      <c r="A35" s="8" t="s">
        <v>29</v>
      </c>
      <c r="B35" s="8" t="s">
        <v>30</v>
      </c>
    </row>
    <row r="36" spans="1:2" ht="36" customHeight="1" x14ac:dyDescent="0.25">
      <c r="A36" s="8" t="s">
        <v>31</v>
      </c>
      <c r="B36" s="8" t="s">
        <v>32</v>
      </c>
    </row>
    <row r="37" spans="1:2" ht="36" customHeight="1" x14ac:dyDescent="0.25">
      <c r="A37" s="8" t="s">
        <v>33</v>
      </c>
      <c r="B37" s="8" t="s">
        <v>34</v>
      </c>
    </row>
    <row r="38" spans="1:2" ht="36" customHeight="1" x14ac:dyDescent="0.25">
      <c r="A38" s="8" t="s">
        <v>35</v>
      </c>
      <c r="B38" s="8" t="s">
        <v>36</v>
      </c>
    </row>
    <row r="39" spans="1:2" ht="36" customHeight="1" x14ac:dyDescent="0.25">
      <c r="A39" s="8" t="s">
        <v>37</v>
      </c>
      <c r="B39" s="8" t="s">
        <v>38</v>
      </c>
    </row>
    <row r="42" spans="1:2" ht="6" customHeight="1" x14ac:dyDescent="0.25"/>
    <row r="43" spans="1:2" ht="21.75" customHeight="1" x14ac:dyDescent="0.25">
      <c r="A43" s="3" t="s">
        <v>39</v>
      </c>
    </row>
    <row r="44" spans="1:2" ht="18" customHeight="1" x14ac:dyDescent="0.25">
      <c r="A44" s="2" t="s">
        <v>40</v>
      </c>
    </row>
    <row r="45" spans="1:2" ht="27.75" customHeight="1" x14ac:dyDescent="0.25">
      <c r="A45" s="9" t="s">
        <v>41</v>
      </c>
    </row>
    <row r="47" spans="1:2" ht="18" customHeight="1" x14ac:dyDescent="0.25">
      <c r="A47" s="4" t="s">
        <v>42</v>
      </c>
    </row>
    <row r="48" spans="1:2" ht="19.5" customHeight="1" x14ac:dyDescent="0.25">
      <c r="A48" s="7" t="s">
        <v>43</v>
      </c>
      <c r="B48" s="7" t="s">
        <v>44</v>
      </c>
    </row>
    <row r="49" spans="1:2" ht="36" customHeight="1" x14ac:dyDescent="0.25">
      <c r="A49" s="8" t="s">
        <v>45</v>
      </c>
      <c r="B49" s="8" t="s">
        <v>46</v>
      </c>
    </row>
    <row r="50" spans="1:2" ht="36" customHeight="1" x14ac:dyDescent="0.25">
      <c r="A50" s="8" t="s">
        <v>47</v>
      </c>
      <c r="B50" s="8" t="s">
        <v>48</v>
      </c>
    </row>
    <row r="51" spans="1:2" ht="36" customHeight="1" x14ac:dyDescent="0.25">
      <c r="A51" s="8" t="s">
        <v>49</v>
      </c>
      <c r="B51" s="8" t="s">
        <v>50</v>
      </c>
    </row>
    <row r="52" spans="1:2" ht="36" customHeight="1" x14ac:dyDescent="0.25">
      <c r="A52" s="8" t="s">
        <v>51</v>
      </c>
      <c r="B52" s="8" t="s">
        <v>52</v>
      </c>
    </row>
    <row r="53" spans="1:2" ht="36" customHeight="1" x14ac:dyDescent="0.25">
      <c r="A53" s="8" t="s">
        <v>53</v>
      </c>
      <c r="B53" s="8" t="s">
        <v>54</v>
      </c>
    </row>
    <row r="55" spans="1:2" ht="18" customHeight="1" x14ac:dyDescent="0.25">
      <c r="A55" s="4" t="s">
        <v>55</v>
      </c>
    </row>
    <row r="56" spans="1:2" ht="42" customHeight="1" x14ac:dyDescent="0.25">
      <c r="A56" s="10" t="s">
        <v>56</v>
      </c>
    </row>
    <row r="57" spans="1:2" ht="42" customHeight="1" x14ac:dyDescent="0.25">
      <c r="A57" s="10" t="s">
        <v>57</v>
      </c>
    </row>
    <row r="58" spans="1:2" ht="42" customHeight="1" x14ac:dyDescent="0.25">
      <c r="A58" s="10" t="s">
        <v>58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abSelected="1" zoomScaleNormal="100" workbookViewId="0">
      <pane ySplit="3" topLeftCell="A4" activePane="bottomLeft" state="frozen"/>
      <selection pane="bottomLeft" activeCell="F6" sqref="F6"/>
    </sheetView>
  </sheetViews>
  <sheetFormatPr baseColWidth="10" defaultColWidth="8.7109375" defaultRowHeight="15" x14ac:dyDescent="0.25"/>
  <cols>
    <col min="1" max="1" width="10" customWidth="1"/>
    <col min="2" max="2" width="8" customWidth="1"/>
    <col min="3" max="3" width="35" customWidth="1"/>
    <col min="4" max="5" width="12" customWidth="1"/>
    <col min="6" max="6" width="22" customWidth="1"/>
    <col min="7" max="7" width="28" customWidth="1"/>
    <col min="8" max="8" width="18" customWidth="1"/>
    <col min="9" max="9" width="14" customWidth="1"/>
    <col min="10" max="10" width="30" customWidth="1"/>
  </cols>
  <sheetData>
    <row r="1" spans="1:10" ht="27.75" customHeight="1" x14ac:dyDescent="0.25">
      <c r="A1" s="20" t="s">
        <v>59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21.75" customHeight="1" x14ac:dyDescent="0.25">
      <c r="A2" s="21" t="s">
        <v>60</v>
      </c>
      <c r="B2" s="21"/>
      <c r="C2" s="21"/>
      <c r="D2" s="21"/>
      <c r="E2" s="21" t="s">
        <v>61</v>
      </c>
      <c r="F2" s="21"/>
      <c r="G2" s="21"/>
      <c r="H2" s="21"/>
      <c r="I2" s="21" t="s">
        <v>62</v>
      </c>
      <c r="J2" s="21"/>
    </row>
    <row r="3" spans="1:10" ht="30" customHeight="1" x14ac:dyDescent="0.25">
      <c r="A3" s="18" t="s">
        <v>63</v>
      </c>
      <c r="B3" s="18" t="s">
        <v>64</v>
      </c>
      <c r="C3" s="18" t="s">
        <v>65</v>
      </c>
      <c r="D3" s="18" t="s">
        <v>66</v>
      </c>
      <c r="E3" s="18" t="s">
        <v>25</v>
      </c>
      <c r="F3" s="18" t="s">
        <v>67</v>
      </c>
      <c r="G3" s="18" t="s">
        <v>68</v>
      </c>
      <c r="H3" s="18" t="s">
        <v>69</v>
      </c>
      <c r="I3" s="18" t="s">
        <v>70</v>
      </c>
      <c r="J3" s="18" t="s">
        <v>71</v>
      </c>
    </row>
    <row r="4" spans="1:10" ht="42" customHeight="1" x14ac:dyDescent="0.25">
      <c r="A4" s="11" t="s">
        <v>72</v>
      </c>
      <c r="B4" s="12" t="s">
        <v>73</v>
      </c>
      <c r="C4" s="12" t="s">
        <v>74</v>
      </c>
      <c r="D4" s="12" t="s">
        <v>75</v>
      </c>
      <c r="E4" s="12" t="s">
        <v>29</v>
      </c>
      <c r="F4" s="12" t="s">
        <v>76</v>
      </c>
      <c r="G4" s="12" t="s">
        <v>77</v>
      </c>
      <c r="H4" s="13" t="s">
        <v>78</v>
      </c>
      <c r="I4" s="12" t="s">
        <v>79</v>
      </c>
      <c r="J4" s="12"/>
    </row>
    <row r="5" spans="1:10" ht="42" customHeight="1" x14ac:dyDescent="0.25">
      <c r="A5" s="11" t="s">
        <v>80</v>
      </c>
      <c r="B5" s="12" t="s">
        <v>73</v>
      </c>
      <c r="C5" s="12" t="s">
        <v>81</v>
      </c>
      <c r="D5" s="12" t="s">
        <v>75</v>
      </c>
      <c r="E5" s="12" t="s">
        <v>82</v>
      </c>
      <c r="F5" s="12" t="s">
        <v>83</v>
      </c>
      <c r="G5" s="12" t="s">
        <v>84</v>
      </c>
      <c r="H5" s="13" t="s">
        <v>78</v>
      </c>
      <c r="I5" s="12" t="s">
        <v>79</v>
      </c>
      <c r="J5" s="12"/>
    </row>
    <row r="6" spans="1:10" ht="42" customHeight="1" x14ac:dyDescent="0.25">
      <c r="A6" s="11" t="s">
        <v>85</v>
      </c>
      <c r="B6" s="12" t="s">
        <v>73</v>
      </c>
      <c r="C6" s="12" t="s">
        <v>86</v>
      </c>
      <c r="D6" s="12" t="s">
        <v>75</v>
      </c>
      <c r="E6" s="12" t="s">
        <v>35</v>
      </c>
      <c r="F6" s="12" t="s">
        <v>87</v>
      </c>
      <c r="G6" s="12" t="s">
        <v>88</v>
      </c>
      <c r="H6" s="13" t="s">
        <v>78</v>
      </c>
      <c r="I6" s="12" t="s">
        <v>79</v>
      </c>
      <c r="J6" s="12"/>
    </row>
    <row r="7" spans="1:10" ht="42" customHeight="1" x14ac:dyDescent="0.25">
      <c r="A7" s="11" t="s">
        <v>89</v>
      </c>
      <c r="B7" s="12" t="s">
        <v>73</v>
      </c>
      <c r="C7" s="12" t="s">
        <v>90</v>
      </c>
      <c r="D7" s="12" t="s">
        <v>75</v>
      </c>
      <c r="E7" s="12" t="s">
        <v>35</v>
      </c>
      <c r="F7" s="12" t="s">
        <v>87</v>
      </c>
      <c r="G7" s="12" t="s">
        <v>91</v>
      </c>
      <c r="H7" s="13" t="s">
        <v>78</v>
      </c>
      <c r="I7" s="12" t="s">
        <v>79</v>
      </c>
      <c r="J7" s="12"/>
    </row>
    <row r="8" spans="1:10" ht="42" customHeight="1" x14ac:dyDescent="0.25">
      <c r="A8" s="11" t="s">
        <v>92</v>
      </c>
      <c r="B8" s="12" t="s">
        <v>73</v>
      </c>
      <c r="C8" s="12" t="s">
        <v>93</v>
      </c>
      <c r="D8" s="12" t="s">
        <v>75</v>
      </c>
      <c r="E8" s="12" t="s">
        <v>35</v>
      </c>
      <c r="F8" s="12" t="s">
        <v>87</v>
      </c>
      <c r="G8" s="12" t="s">
        <v>94</v>
      </c>
      <c r="H8" s="13" t="s">
        <v>78</v>
      </c>
      <c r="I8" s="12" t="s">
        <v>79</v>
      </c>
      <c r="J8" s="12"/>
    </row>
    <row r="9" spans="1:10" ht="42" customHeight="1" x14ac:dyDescent="0.25">
      <c r="A9" s="11" t="s">
        <v>95</v>
      </c>
      <c r="B9" s="12" t="s">
        <v>73</v>
      </c>
      <c r="C9" s="12" t="s">
        <v>96</v>
      </c>
      <c r="D9" s="12" t="s">
        <v>75</v>
      </c>
      <c r="E9" s="12" t="s">
        <v>35</v>
      </c>
      <c r="F9" s="12" t="s">
        <v>87</v>
      </c>
      <c r="G9" s="12" t="s">
        <v>97</v>
      </c>
      <c r="H9" s="13" t="s">
        <v>78</v>
      </c>
      <c r="I9" s="12" t="s">
        <v>79</v>
      </c>
      <c r="J9" s="12"/>
    </row>
    <row r="10" spans="1:10" ht="42" customHeight="1" x14ac:dyDescent="0.25">
      <c r="A10" s="11" t="s">
        <v>98</v>
      </c>
      <c r="B10" s="12" t="s">
        <v>73</v>
      </c>
      <c r="C10" s="12" t="s">
        <v>99</v>
      </c>
      <c r="D10" s="12" t="s">
        <v>75</v>
      </c>
      <c r="E10" s="12" t="s">
        <v>31</v>
      </c>
      <c r="F10" s="12" t="s">
        <v>100</v>
      </c>
      <c r="G10" s="12" t="s">
        <v>101</v>
      </c>
      <c r="H10" s="13" t="s">
        <v>78</v>
      </c>
      <c r="I10" s="12" t="s">
        <v>79</v>
      </c>
      <c r="J10" s="12"/>
    </row>
    <row r="11" spans="1:10" ht="42" customHeight="1" x14ac:dyDescent="0.25">
      <c r="A11" s="11" t="s">
        <v>102</v>
      </c>
      <c r="B11" s="12" t="s">
        <v>73</v>
      </c>
      <c r="C11" s="12" t="s">
        <v>103</v>
      </c>
      <c r="D11" s="12" t="s">
        <v>75</v>
      </c>
      <c r="E11" s="12" t="s">
        <v>29</v>
      </c>
      <c r="F11" s="12" t="s">
        <v>76</v>
      </c>
      <c r="G11" s="12" t="s">
        <v>104</v>
      </c>
      <c r="H11" s="13" t="s">
        <v>78</v>
      </c>
      <c r="I11" s="12" t="s">
        <v>79</v>
      </c>
      <c r="J11" s="12"/>
    </row>
    <row r="12" spans="1:10" ht="42" customHeight="1" x14ac:dyDescent="0.25">
      <c r="A12" s="11" t="s">
        <v>105</v>
      </c>
      <c r="B12" s="12" t="s">
        <v>73</v>
      </c>
      <c r="C12" s="12" t="s">
        <v>106</v>
      </c>
      <c r="D12" s="12" t="s">
        <v>75</v>
      </c>
      <c r="E12" s="12" t="s">
        <v>35</v>
      </c>
      <c r="F12" s="12" t="s">
        <v>87</v>
      </c>
      <c r="G12" s="12" t="s">
        <v>107</v>
      </c>
      <c r="H12" s="13" t="s">
        <v>78</v>
      </c>
      <c r="I12" s="12" t="s">
        <v>79</v>
      </c>
      <c r="J12" s="12" t="s">
        <v>108</v>
      </c>
    </row>
    <row r="13" spans="1:10" ht="42" customHeight="1" x14ac:dyDescent="0.25">
      <c r="A13" s="11" t="s">
        <v>109</v>
      </c>
      <c r="B13" s="12" t="s">
        <v>73</v>
      </c>
      <c r="C13" s="12" t="s">
        <v>110</v>
      </c>
      <c r="D13" s="12" t="s">
        <v>111</v>
      </c>
      <c r="E13" s="12" t="s">
        <v>35</v>
      </c>
      <c r="F13" s="12" t="s">
        <v>87</v>
      </c>
      <c r="G13" s="12" t="s">
        <v>112</v>
      </c>
      <c r="H13" s="13" t="s">
        <v>78</v>
      </c>
      <c r="I13" s="12" t="s">
        <v>79</v>
      </c>
      <c r="J13" s="12" t="s">
        <v>113</v>
      </c>
    </row>
    <row r="14" spans="1:10" ht="42" customHeight="1" x14ac:dyDescent="0.25">
      <c r="A14" s="11" t="s">
        <v>114</v>
      </c>
      <c r="B14" s="12" t="s">
        <v>73</v>
      </c>
      <c r="C14" s="12" t="s">
        <v>115</v>
      </c>
      <c r="D14" s="12" t="s">
        <v>75</v>
      </c>
      <c r="E14" s="12" t="s">
        <v>29</v>
      </c>
      <c r="F14" s="12" t="s">
        <v>76</v>
      </c>
      <c r="G14" s="12" t="s">
        <v>116</v>
      </c>
      <c r="H14" s="13" t="s">
        <v>78</v>
      </c>
      <c r="I14" s="12" t="s">
        <v>79</v>
      </c>
      <c r="J14" s="12"/>
    </row>
    <row r="15" spans="1:10" ht="42" customHeight="1" x14ac:dyDescent="0.25">
      <c r="A15" s="11" t="s">
        <v>117</v>
      </c>
      <c r="B15" s="12" t="s">
        <v>73</v>
      </c>
      <c r="C15" s="12" t="s">
        <v>118</v>
      </c>
      <c r="D15" s="12" t="s">
        <v>75</v>
      </c>
      <c r="E15" s="12" t="s">
        <v>27</v>
      </c>
      <c r="F15" s="12" t="s">
        <v>119</v>
      </c>
      <c r="G15" s="12" t="s">
        <v>120</v>
      </c>
      <c r="H15" s="13" t="s">
        <v>78</v>
      </c>
      <c r="I15" s="12" t="s">
        <v>79</v>
      </c>
      <c r="J15" s="12" t="s">
        <v>121</v>
      </c>
    </row>
    <row r="16" spans="1:10" ht="76.5" x14ac:dyDescent="0.25">
      <c r="A16" s="11" t="s">
        <v>122</v>
      </c>
      <c r="B16" s="12" t="s">
        <v>73</v>
      </c>
      <c r="C16" s="12" t="s">
        <v>123</v>
      </c>
      <c r="D16" s="12" t="s">
        <v>75</v>
      </c>
      <c r="E16" s="12" t="s">
        <v>33</v>
      </c>
      <c r="F16" s="12" t="s">
        <v>124</v>
      </c>
      <c r="G16" s="12" t="s">
        <v>125</v>
      </c>
      <c r="H16" s="13" t="s">
        <v>78</v>
      </c>
      <c r="I16" s="12" t="s">
        <v>79</v>
      </c>
      <c r="J16" s="12" t="s">
        <v>126</v>
      </c>
    </row>
    <row r="17" spans="1:10" ht="51" x14ac:dyDescent="0.25">
      <c r="A17" s="11" t="s">
        <v>127</v>
      </c>
      <c r="B17" s="12" t="s">
        <v>128</v>
      </c>
      <c r="C17" s="12" t="s">
        <v>129</v>
      </c>
      <c r="D17" s="12" t="s">
        <v>75</v>
      </c>
      <c r="E17" s="12" t="s">
        <v>82</v>
      </c>
      <c r="F17" s="12" t="s">
        <v>83</v>
      </c>
      <c r="G17" s="12" t="s">
        <v>130</v>
      </c>
      <c r="H17" s="14" t="s">
        <v>131</v>
      </c>
      <c r="I17" s="12" t="s">
        <v>79</v>
      </c>
      <c r="J17" s="12" t="s">
        <v>132</v>
      </c>
    </row>
    <row r="18" spans="1:10" ht="76.5" x14ac:dyDescent="0.25">
      <c r="A18" s="11" t="s">
        <v>133</v>
      </c>
      <c r="B18" s="12" t="s">
        <v>128</v>
      </c>
      <c r="C18" s="12" t="s">
        <v>134</v>
      </c>
      <c r="D18" s="12" t="s">
        <v>75</v>
      </c>
      <c r="E18" s="12" t="s">
        <v>27</v>
      </c>
      <c r="F18" s="12" t="s">
        <v>119</v>
      </c>
      <c r="G18" s="12" t="s">
        <v>135</v>
      </c>
      <c r="H18" s="14" t="s">
        <v>131</v>
      </c>
      <c r="I18" s="12" t="s">
        <v>79</v>
      </c>
      <c r="J18" s="12" t="s">
        <v>136</v>
      </c>
    </row>
    <row r="19" spans="1:10" ht="51" x14ac:dyDescent="0.25">
      <c r="A19" s="11" t="s">
        <v>137</v>
      </c>
      <c r="B19" s="12" t="s">
        <v>128</v>
      </c>
      <c r="C19" s="12" t="s">
        <v>138</v>
      </c>
      <c r="D19" s="12" t="s">
        <v>75</v>
      </c>
      <c r="E19" s="12" t="s">
        <v>139</v>
      </c>
      <c r="F19" s="12" t="s">
        <v>140</v>
      </c>
      <c r="G19" s="12" t="s">
        <v>141</v>
      </c>
      <c r="H19" s="13" t="s">
        <v>78</v>
      </c>
      <c r="I19" s="12" t="s">
        <v>79</v>
      </c>
      <c r="J19" s="12" t="s">
        <v>142</v>
      </c>
    </row>
    <row r="20" spans="1:10" ht="76.5" x14ac:dyDescent="0.25">
      <c r="A20" s="11" t="s">
        <v>143</v>
      </c>
      <c r="B20" s="12" t="s">
        <v>128</v>
      </c>
      <c r="C20" s="12" t="s">
        <v>144</v>
      </c>
      <c r="D20" s="12" t="s">
        <v>111</v>
      </c>
      <c r="E20" s="12"/>
      <c r="F20" s="12"/>
      <c r="G20" s="12"/>
      <c r="H20" s="15" t="s">
        <v>145</v>
      </c>
      <c r="I20" s="12" t="s">
        <v>146</v>
      </c>
      <c r="J20" s="12" t="s">
        <v>147</v>
      </c>
    </row>
    <row r="21" spans="1:10" ht="51" x14ac:dyDescent="0.25">
      <c r="A21" s="11" t="s">
        <v>148</v>
      </c>
      <c r="B21" s="12" t="s">
        <v>128</v>
      </c>
      <c r="C21" s="12" t="s">
        <v>149</v>
      </c>
      <c r="D21" s="12" t="s">
        <v>111</v>
      </c>
      <c r="E21" s="12"/>
      <c r="F21" s="12"/>
      <c r="G21" s="12"/>
      <c r="H21" s="15" t="s">
        <v>145</v>
      </c>
      <c r="I21" s="12" t="s">
        <v>146</v>
      </c>
      <c r="J21" s="12" t="s">
        <v>150</v>
      </c>
    </row>
  </sheetData>
  <autoFilter ref="A3:J200" xr:uid="{00000000-0009-0000-0000-000001000000}"/>
  <mergeCells count="4">
    <mergeCell ref="A1:J1"/>
    <mergeCell ref="A2:D2"/>
    <mergeCell ref="E2:H2"/>
    <mergeCell ref="I2:J2"/>
  </mergeCells>
  <dataValidations count="2">
    <dataValidation type="list" allowBlank="1" sqref="H4:H200" xr:uid="{00000000-0002-0000-0100-000000000000}">
      <formula1>"Cubierto,Parcialmente cubierto,No cubierto,No aplica al prototipo"</formula1>
      <formula2>0</formula2>
    </dataValidation>
    <dataValidation type="list" allowBlank="1" sqref="I4:I200" xr:uid="{00000000-0002-0000-0100-000001000000}">
      <formula1>"Sí,No,—"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Normal="100" workbookViewId="0"/>
  </sheetViews>
  <sheetFormatPr baseColWidth="10" defaultColWidth="8.7109375" defaultRowHeight="15" x14ac:dyDescent="0.25"/>
  <cols>
    <col min="1" max="1" width="45" customWidth="1"/>
    <col min="2" max="2" width="20" customWidth="1"/>
  </cols>
  <sheetData>
    <row r="1" spans="1:4" ht="27.75" customHeight="1" x14ac:dyDescent="0.25">
      <c r="A1" s="22" t="s">
        <v>151</v>
      </c>
      <c r="B1" s="22"/>
      <c r="C1" s="22"/>
      <c r="D1" s="22"/>
    </row>
    <row r="3" spans="1:4" x14ac:dyDescent="0.25">
      <c r="A3" s="23" t="s">
        <v>152</v>
      </c>
      <c r="B3" s="23"/>
      <c r="C3" s="23"/>
      <c r="D3" s="23"/>
    </row>
    <row r="5" spans="1:4" x14ac:dyDescent="0.25">
      <c r="A5" s="16" t="s">
        <v>153</v>
      </c>
      <c r="B5" s="16" t="s">
        <v>154</v>
      </c>
    </row>
    <row r="6" spans="1:4" x14ac:dyDescent="0.25">
      <c r="A6" s="17" t="s">
        <v>155</v>
      </c>
      <c r="B6" s="17">
        <f>COUNTA(Trazabilidad!A4:A200)-COUNTBLANK(Trazabilidad!A4:A200)</f>
        <v>-161</v>
      </c>
    </row>
    <row r="7" spans="1:4" x14ac:dyDescent="0.25">
      <c r="A7" s="17" t="s">
        <v>156</v>
      </c>
      <c r="B7" s="17">
        <f>COUNTIF(Trazabilidad!H4:H200,"Cubierto")</f>
        <v>14</v>
      </c>
    </row>
    <row r="8" spans="1:4" x14ac:dyDescent="0.25">
      <c r="A8" s="17" t="s">
        <v>157</v>
      </c>
      <c r="B8" s="17">
        <f>COUNTIF(Trazabilidad!H4:H200,"Parcialmente cubierto")</f>
        <v>2</v>
      </c>
    </row>
    <row r="9" spans="1:4" x14ac:dyDescent="0.25">
      <c r="A9" s="17" t="s">
        <v>158</v>
      </c>
      <c r="B9" s="17">
        <f>COUNTIF(Trazabilidad!H4:H200,"No cubierto")</f>
        <v>0</v>
      </c>
    </row>
    <row r="10" spans="1:4" x14ac:dyDescent="0.25">
      <c r="A10" s="17" t="s">
        <v>159</v>
      </c>
      <c r="B10" s="17">
        <f>COUNTIF(Trazabilidad!H4:H200,"No aplica al prototipo")</f>
        <v>2</v>
      </c>
    </row>
    <row r="12" spans="1:4" x14ac:dyDescent="0.25">
      <c r="A12" s="17" t="s">
        <v>160</v>
      </c>
      <c r="B12" s="17">
        <f>COUNTIF(Trazabilidad!I4:I200,"Sí")</f>
        <v>16</v>
      </c>
    </row>
    <row r="13" spans="1:4" x14ac:dyDescent="0.25">
      <c r="A13" s="17" t="s">
        <v>161</v>
      </c>
      <c r="B13" s="17">
        <f>COUNTIF(Trazabilidad!I4:I200,"No")</f>
        <v>0</v>
      </c>
    </row>
  </sheetData>
  <mergeCells count="2">
    <mergeCell ref="A1:D1"/>
    <mergeCell ref="A3:D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Trazabilidad</vt:lpstr>
      <vt:lpstr>Resumen Cobertura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Adrian Casillas</cp:lastModifiedBy>
  <cp:revision>0</cp:revision>
  <dcterms:created xsi:type="dcterms:W3CDTF">2026-05-28T16:50:59Z</dcterms:created>
  <dcterms:modified xsi:type="dcterms:W3CDTF">2026-06-19T08:32:29Z</dcterms:modified>
  <dc:language>en-US</dc:language>
</cp:coreProperties>
</file>